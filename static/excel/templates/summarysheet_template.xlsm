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7FA50A07-538E-471B-95C9-0E6B4116464F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<sst xmlns="http://schemas.openxmlformats.org/spreadsheetml/2006/main" count="88" uniqueCount="65">
  <si>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</si>
  <si>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</si>
  <si>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</si>
  <si>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</si>
  <si>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</si>
  <si>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</si>
  <si>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</si>
  <si>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</si>
  <si>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</si>
  <si>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</si>
  <si>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</si>
  <si>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</si>
  <si>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</si>
  <si>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</si>
  <si>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</si>
  <si>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</si>
  <si>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</si>
  <si>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</si>
  <si>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</si>
  <si>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</si>
  <si>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</si>
  <si>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</si>
  <si>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</si>
  <si>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</si>
  <si>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</si>
  <si>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</si>
  <si>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</si>
  <si>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</si>
  <si>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</si>
  <si>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</si>
  <si>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</si>
  <si>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</si>
  <si>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</si>
  <si>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</si>
  <si>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</si>
  <si>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</si>
  <si>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</si>
  <si>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</si>
  <si>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</si>
  <si>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</si>
  <si>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</si>
  <si>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</si>
  <si>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</si>
  <si>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</si>
  <si>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</si>
  <si>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</si>
  <si>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</si>
  <si>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</si>
  <si>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</si>
  <si>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</si>
  <si>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</si>
  <si>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t>DEPARTMENT OF MECHANICAL ENGINEERING (MECHANICAL ENGINEERING PROGRAMME)</t>
  </si>
  <si>
    <t>MODE OF STUDY: FULL-TIME</t>
  </si>
  <si>
    <t>FACULTY OF ENGINEERING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</si>
  <si>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</si>
  <si>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</si>
  <si>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</si>
  <si>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r>
      <t xml:space="preserve">Name: </t>
    </r>
    <r>
      <rPr>
        <sz val="10"/>
        <rFont val="Arial"/>
        <family val="2"/>
      </rPr>
      <t xml:space="preserve">Dr. A. Big-Alabo                          </t>
    </r>
    <r>
      <rPr>
        <b/>
        <sz val="10"/>
        <rFont val="Arial"/>
        <family val="2"/>
      </rPr>
      <t/>
    </r>
  </si>
  <si>
    <r>
      <t xml:space="preserve">Name: </t>
    </r>
    <r>
      <rPr>
        <sz val="10"/>
        <rFont val="Arial"/>
        <family val="2"/>
      </rPr>
      <t>Prof. R. Uhunwangho</t>
    </r>
  </si>
  <si>
    <r>
      <rPr>
        <b/>
        <sz val="10"/>
        <rFont val="Arial"/>
        <family val="2"/>
      </rPr>
      <t>Name</t>
    </r>
    <r>
      <rPr>
        <sz val="10"/>
        <rFont val="Arial"/>
        <family val="2"/>
      </rPr>
      <t>: Prof. B. T. Lebele-Alawa</t>
    </r>
  </si>
  <si>
    <r>
      <rPr>
        <b/>
        <sz val="10"/>
        <rFont val="Arial"/>
        <family val="2"/>
      </rPr>
      <t>Sign:</t>
    </r>
    <r>
      <rPr>
        <sz val="10"/>
        <rFont val="Arial"/>
        <family val="2"/>
      </rPr>
      <t xml:space="preserve">……………………………..                         </t>
    </r>
  </si>
  <si>
    <r>
      <rPr>
        <b/>
        <sz val="10"/>
        <rFont val="Arial"/>
        <family val="2"/>
      </rPr>
      <t>Sign</t>
    </r>
    <r>
      <rPr>
        <sz val="10"/>
        <rFont val="Arial"/>
        <family val="2"/>
      </rPr>
      <t>:……………………………..</t>
    </r>
  </si>
  <si>
    <r>
      <rPr>
        <b/>
        <sz val="10"/>
        <rFont val="Arial"/>
        <family val="2"/>
      </rPr>
      <t>Date</t>
    </r>
    <r>
      <rPr>
        <sz val="10"/>
        <rFont val="Arial"/>
        <family val="2"/>
      </rPr>
      <t>:……………………………….........</t>
    </r>
  </si>
  <si>
    <t>MASTER MARK SHEET FOR THE AWARD OF BACHELOR OF ENGINEERING (B. ENG.) DEGREE</t>
  </si>
  <si>
    <t>SESSION: 20__/20__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</si>
</sst>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4" fillId="0" borderId="1" xfId="0" applyFont="1" applyBorder="1" applyAlignment="1">
      <alignment horizontal="center"/>
    </xf>
    <xf numFmtId="0" fontId="7" fillId="0" borderId="0" xfId="3" applyFont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82"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81"/>
      <tableStyleElement type="headerRow" dxfId="80"/>
      <tableStyleElement type="totalRow" dxfId="79"/>
      <tableStyleElement type="firstRowStripe" dxfId="78"/>
    </tableStyle>
    <tableStyle name="Table Style 1" pivot="0" count="2" xr9:uid="{F3B52532-6567-4D06-B143-F5517C4B2318}">
      <tableStyleElement type="wholeTable" dxfId="77"/>
      <tableStyleElement type="headerRow" dxfId="76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75" totalsRowDxfId="74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73" dataCellStyle="Number Style"/>
    <tableColumn id="9" xr3:uid="{5204B242-A57C-4CE6-A269-1EEEE36EE15F}" name="CU1" totalsRowFunction="max" totalsRowDxfId="72" dataCellStyle="Number Style"/>
    <tableColumn id="7" xr3:uid="{07804743-89D7-473F-BABC-E87263AF17A8}" name="QP2" totalsRowFunction="max" totalsRowDxfId="71" dataCellStyle="Number Style"/>
    <tableColumn id="6" xr3:uid="{6A881AB3-08C5-4E99-A410-C51A8414D6EE}" name="CU2" totalsRowFunction="max" totalsRowDxfId="70" dataCellStyle="Number Style"/>
    <tableColumn id="10" xr3:uid="{74E222AD-C28C-46A6-BA57-68D3E7B886B3}" name="QP3" totalsRowFunction="max" totalsRowDxfId="69" dataCellStyle="Number Style"/>
    <tableColumn id="11" xr3:uid="{04AAA8E5-0836-4EE5-B7F1-F0E45CCA999F}" name="CU3" totalsRowFunction="max" totalsRowDxfId="68" dataCellStyle="Number Style"/>
    <tableColumn id="12" xr3:uid="{1D522166-EB32-4CDF-95A6-6922EE582131}" name="QP4" totalsRowFunction="max" totalsRowDxfId="67" dataCellStyle="Number Style"/>
    <tableColumn id="13" xr3:uid="{3FF9F0B9-4C66-48AE-92F5-8E95E01078E6}" name="CU4" totalsRowFunction="max" totalsRowDxfId="66" dataCellStyle="Number Style"/>
    <tableColumn id="14" xr3:uid="{5F8E3635-B3BC-467F-B4F7-D0A09C6FEED1}" name="QP5" totalsRowFunction="max" totalsRowDxfId="65" dataCellStyle="Number Style"/>
    <tableColumn id="15" xr3:uid="{20EF5D98-08DD-4ED8-8653-77A304D2B3CC}" name="CU5" totalsRowFunction="max" totalsRowDxfId="64" dataCellStyle="Number Style"/>
    <tableColumn id="18" xr3:uid="{D75E5019-06FC-48D0-B4C0-3B29E66740C0}" name="QP6" totalsRowFunction="max" totalsRowDxfId="63" dataCellStyle="Number Style"/>
    <tableColumn id="19" xr3:uid="{33A6AC78-E230-4B01-9B0F-377AD99CE1E7}" name="CU6" totalsRowFunction="max" totalsRowDxfId="62" dataCellStyle="Number Style"/>
    <tableColumn id="16" xr3:uid="{67694929-7983-4AFB-9433-C823426CA72A}" name="QP7" totalsRowFunction="max" totalsRowDxfId="61" dataCellStyle="Number Style"/>
    <tableColumn id="17" xr3:uid="{6E0E33D8-EDC4-4833-9680-E48C57D13966}" name="CU7" totalsRowFunction="max" totalsRowDxfId="60" dataCellStyle="Number Style"/>
    <tableColumn id="3" xr3:uid="{284CAE8F-75FF-4977-8EB0-92BEE5C42085}" name="TQP" totalsRowFunction="max" totalsRowDxfId="59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58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57" totalsRowDxfId="56" dataCellStyle="GPAStyle">
      <calculatedColumnFormula>IFERROR(SummaryTable[[#This Row],[TQP]]/SummaryTable[[#This Row],[TCU]],0)</calculatedColumnFormula>
    </tableColumn>
    <tableColumn id="20" xr3:uid="{B86400EE-D3E2-4990-992B-21AB818397B6}" name="CLASS" dataDxfId="55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54" dataDxfId="52" totalsRowDxfId="51" headerRowBorderDxfId="53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50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49" dataCellStyle="Normal 2"/>
    <tableColumn id="8" xr3:uid="{0D0E4684-0995-4DEF-ACB6-8648D3F82EDC}" name="QP" totalsRowFunction="max" dataDxfId="48" totalsRowDxfId="47" dataCellStyle="Number Style"/>
    <tableColumn id="9" xr3:uid="{8D1B1E20-EA63-415B-8CD9-04893B2D72FB}" name="CU" totalsRowFunction="max" dataDxfId="46" totalsRowDxfId="45" dataCellStyle="Number Style"/>
    <tableColumn id="7" xr3:uid="{E3223D13-ED4C-405E-9713-2FD05E3F31D0}" name=" QP " totalsRowFunction="max" dataDxfId="44" totalsRowDxfId="43" dataCellStyle="Number Style"/>
    <tableColumn id="6" xr3:uid="{3489DBCF-1B38-4FB5-B01C-66C417D4DE5A}" name=" CU " totalsRowFunction="max" dataDxfId="42" totalsRowDxfId="41" dataCellStyle="Number Style"/>
    <tableColumn id="10" xr3:uid="{B8B42F79-6152-4F56-BB62-1154A33091D5}" name="  QP  " totalsRowFunction="max" dataDxfId="40" totalsRowDxfId="39" dataCellStyle="Number Style"/>
    <tableColumn id="11" xr3:uid="{4B806845-BC5A-4E1E-8502-B0155B49077C}" name="  CU  " totalsRowFunction="max" dataDxfId="38" totalsRowDxfId="37" dataCellStyle="Number Style"/>
    <tableColumn id="12" xr3:uid="{EBD1AECA-A627-42A8-8801-0EE0DBD4A275}" name="   QP   " totalsRowFunction="max" dataDxfId="36" totalsRowDxfId="35" dataCellStyle="Number Style"/>
    <tableColumn id="13" xr3:uid="{7552F0D6-A0C9-41F6-961C-900BE21C171F}" name="   CU   " totalsRowFunction="max" dataDxfId="34" totalsRowDxfId="33" dataCellStyle="Number Style"/>
    <tableColumn id="14" xr3:uid="{B1F76EFF-4E66-4F4E-A70C-AECB4C931F9D}" name="    QP    " totalsRowFunction="max" dataDxfId="32" totalsRowDxfId="31" dataCellStyle="Number Style"/>
    <tableColumn id="15" xr3:uid="{A58F761E-2DCA-4EB4-AB1E-C6FF0998BD38}" name="    CU    " totalsRowFunction="max" dataDxfId="30" totalsRowDxfId="29" dataCellStyle="Number Style"/>
    <tableColumn id="18" xr3:uid="{443690B0-2C5B-4FEA-8533-EF488546160D}" name="     QP     " totalsRowFunction="max" dataDxfId="28" totalsRowDxfId="27" dataCellStyle="Number Style"/>
    <tableColumn id="19" xr3:uid="{061629B8-8E35-4631-B805-A1F0F37371A9}" name="     CU     " totalsRowFunction="max" dataDxfId="26" totalsRowDxfId="25" dataCellStyle="Number Style"/>
    <tableColumn id="16" xr3:uid="{7C39ACA2-28D6-47B9-B2C6-3D38BE551BBB}" name="      QP      " totalsRowFunction="max" dataDxfId="24" totalsRowDxfId="23" dataCellStyle="Number Style"/>
    <tableColumn id="17" xr3:uid="{1F80A33A-A2B2-42AD-84ED-14FE907E5F50}" name="      CU      " totalsRowFunction="max" dataDxfId="22" totalsRowDxfId="21" dataCellStyle="Number Style"/>
    <tableColumn id="3" xr3:uid="{263F0515-932A-4948-9DF1-4A8A2B8F549C}" name="TQP" totalsRowFunction="max" dataDxfId="20" totalsRowDxfId="19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18" totalsRowDxfId="17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6" totalsRowDxfId="15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14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topLeftCell="B1" zoomScaleNormal="100" workbookViewId="0">
      <selection activeCell="D209" sqref="D209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0" t="s">
        <v>29</v>
      </c>
      <c r="B3" s="61"/>
      <c r="C3" s="6"/>
      <c r="D3" s="64" t="s">
        <v>34</v>
      </c>
      <c r="E3" s="64"/>
      <c r="F3" s="64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2" t="str">
        <f>_xlfn.CONCAT("First Class:  ", COUNTIF(SummaryTable[CLASS],"=1st"))</f>
        <v>First Class:  0</v>
      </c>
      <c r="B4" s="63"/>
      <c r="C4" s="7" t="str">
        <f>_xlfn.CONCAT("2nd Class Upper:  ", COUNTIF(SummaryTable[CLASS],"=2.1"))</f>
        <v>2nd Class Upper:  0</v>
      </c>
      <c r="D4" s="65" t="s">
        <v>30</v>
      </c>
      <c r="E4" s="65"/>
      <c r="F4" s="65"/>
      <c r="G4" s="8">
        <f>COUNTIF(SummaryTable[CLASS],"=2.2")</f>
        <v>0</v>
      </c>
      <c r="H4" s="7"/>
      <c r="I4" s="5"/>
      <c r="J4" s="65" t="s">
        <v>31</v>
      </c>
      <c r="K4" s="65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6" t="s">
        <v>20</v>
      </c>
      <c r="E6" s="66"/>
      <c r="F6" s="66" t="s">
        <v>21</v>
      </c>
      <c r="G6" s="66"/>
      <c r="H6" s="66" t="s">
        <v>22</v>
      </c>
      <c r="I6" s="66"/>
      <c r="J6" s="66" t="s">
        <v>23</v>
      </c>
      <c r="K6" s="66"/>
      <c r="L6" s="66" t="s">
        <v>24</v>
      </c>
      <c r="M6" s="66"/>
      <c r="N6" s="66" t="s">
        <v>25</v>
      </c>
      <c r="O6" s="66"/>
      <c r="P6" s="66" t="s">
        <v>26</v>
      </c>
      <c r="Q6" s="66"/>
      <c r="R6" s="66" t="s">
        <v>27</v>
      </c>
      <c r="S6" s="66"/>
      <c r="T6" s="66" t="s">
        <v>28</v>
      </c>
      <c r="U6" s="66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8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R6:S6"/>
    <mergeCell ref="T6:U6"/>
    <mergeCell ref="D4:F4"/>
    <mergeCell ref="H6:I6"/>
    <mergeCell ref="D6:E6"/>
    <mergeCell ref="F6:G6"/>
    <mergeCell ref="J6:K6"/>
    <mergeCell ref="L6:M6"/>
    <mergeCell ref="N6:O6"/>
    <mergeCell ref="A3:B3"/>
    <mergeCell ref="A4:B4"/>
    <mergeCell ref="D3:F3"/>
    <mergeCell ref="J4:K4"/>
    <mergeCell ref="P6:Q6"/>
  </mergeCells>
  <phoneticPr fontId="3" type="noConversion"/>
  <conditionalFormatting sqref="S1:S1048576">
    <cfRule type="cellIs" dxfId="13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12" priority="8" operator="lessThan">
      <formula>1</formula>
    </cfRule>
  </conditionalFormatting>
  <conditionalFormatting sqref="U1:U1048576">
    <cfRule type="cellIs" dxfId="11" priority="1" operator="equal">
      <formula>"Pass"</formula>
    </cfRule>
    <cfRule type="cellIs" dxfId="10" priority="2" operator="equal">
      <formula>"3rd"</formula>
    </cfRule>
    <cfRule type="cellIs" dxfId="9" priority="3" operator="equal">
      <formula>"2.2"</formula>
    </cfRule>
    <cfRule type="cellIs" dxfId="8" priority="4" operator="equal">
      <formula>"2.1"</formula>
    </cfRule>
    <cfRule type="cellIs" dxfId="7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K249" sqref="K249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0" t="s">
        <v>50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</row>
    <row r="2" spans="1:23" x14ac:dyDescent="0.65">
      <c r="A2" s="70" t="s">
        <v>53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</row>
    <row r="3" spans="1:23" x14ac:dyDescent="0.65">
      <c r="A3" s="70" t="s">
        <v>51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</row>
    <row r="4" spans="1:23" x14ac:dyDescent="0.65">
      <c r="A4" s="70" t="s">
        <v>63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</row>
    <row r="5" spans="1:23" x14ac:dyDescent="0.65">
      <c r="A5" s="15"/>
      <c r="B5" s="71" t="s">
        <v>52</v>
      </c>
      <c r="C5" s="71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67" t="s">
        <v>64</v>
      </c>
      <c r="R5" s="67"/>
      <c r="S5" s="67"/>
      <c r="T5" s="67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4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4"/>
    </row>
    <row r="8" spans="1:23" x14ac:dyDescent="0.65">
      <c r="A8" s="34"/>
      <c r="B8" s="37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2" t="s">
        <v>30</v>
      </c>
      <c r="E8" s="72"/>
      <c r="F8" s="72"/>
      <c r="G8" s="72"/>
      <c r="H8" s="29">
        <f>COUNTIF(U:U,"=22")</f>
        <v>0</v>
      </c>
      <c r="I8" s="21"/>
      <c r="J8" s="72" t="s">
        <v>31</v>
      </c>
      <c r="K8" s="72"/>
      <c r="L8" s="72"/>
      <c r="M8" s="29">
        <f>COUNTIF(U:U,"=3rd")</f>
        <v>0</v>
      </c>
      <c r="N8" s="21"/>
      <c r="O8" s="72" t="s">
        <v>32</v>
      </c>
      <c r="P8" s="72"/>
      <c r="Q8" s="29">
        <f>COUNTIF(U:U,"=Pass")</f>
        <v>0</v>
      </c>
      <c r="R8" s="21"/>
      <c r="S8" s="72" t="str">
        <f>_xlfn.CONCAT("Total: ", COUNT(R:R))</f>
        <v>Total: 0</v>
      </c>
      <c r="T8" s="73"/>
      <c r="U8" s="36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1"/>
      <c r="B10" s="35"/>
      <c r="C10" s="35"/>
      <c r="D10" s="68" t="s">
        <v>20</v>
      </c>
      <c r="E10" s="69"/>
      <c r="F10" s="68" t="s">
        <v>21</v>
      </c>
      <c r="G10" s="69"/>
      <c r="H10" s="68" t="s">
        <v>22</v>
      </c>
      <c r="I10" s="69"/>
      <c r="J10" s="68" t="s">
        <v>23</v>
      </c>
      <c r="K10" s="69"/>
      <c r="L10" s="68" t="s">
        <v>24</v>
      </c>
      <c r="M10" s="69"/>
      <c r="N10" s="68" t="s">
        <v>25</v>
      </c>
      <c r="O10" s="69"/>
      <c r="P10" s="68" t="s">
        <v>26</v>
      </c>
      <c r="Q10" s="69"/>
      <c r="R10" s="68" t="s">
        <v>27</v>
      </c>
      <c r="S10" s="69"/>
      <c r="T10" s="68" t="s">
        <v>28</v>
      </c>
      <c r="U10" s="69"/>
    </row>
    <row r="11" spans="1:23" x14ac:dyDescent="0.65">
      <c r="A11" s="14" t="s">
        <v>49</v>
      </c>
      <c r="B11" s="52" t="s">
        <v>0</v>
      </c>
      <c r="C11" s="53" t="s">
        <v>4</v>
      </c>
      <c r="D11" s="54" t="s">
        <v>35</v>
      </c>
      <c r="E11" s="54" t="s">
        <v>42</v>
      </c>
      <c r="F11" s="54" t="s">
        <v>36</v>
      </c>
      <c r="G11" s="54" t="s">
        <v>43</v>
      </c>
      <c r="H11" s="54" t="s">
        <v>37</v>
      </c>
      <c r="I11" s="54" t="s">
        <v>44</v>
      </c>
      <c r="J11" s="54" t="s">
        <v>38</v>
      </c>
      <c r="K11" s="54" t="s">
        <v>45</v>
      </c>
      <c r="L11" s="54" t="s">
        <v>39</v>
      </c>
      <c r="M11" s="54" t="s">
        <v>46</v>
      </c>
      <c r="N11" s="54" t="s">
        <v>40</v>
      </c>
      <c r="O11" s="54" t="s">
        <v>47</v>
      </c>
      <c r="P11" s="54" t="s">
        <v>41</v>
      </c>
      <c r="Q11" s="54" t="s">
        <v>48</v>
      </c>
      <c r="R11" s="54" t="s">
        <v>2</v>
      </c>
      <c r="S11" s="54" t="s">
        <v>1</v>
      </c>
      <c r="T11" s="54" t="s">
        <v>3</v>
      </c>
      <c r="U11" s="55" t="s">
        <v>19</v>
      </c>
      <c r="W11" s="1"/>
    </row>
    <row r="12" spans="1:23" x14ac:dyDescent="0.65">
      <c r="A12" s="49" t="str">
        <f>IF(DegreeTable[[#This Row],[Name]]="", "",COUNT(TQP_ROW:DegreeTable[[#This Row],[TQP]]))</f>
        <v/>
      </c>
      <c r="B12" s="58"/>
      <c r="C12" s="5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9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9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50" t="str">
        <f>IF(DegreeTable[[#This Row],[Name]]="", "",IFERROR(DegreeTable[[#This Row],[TQP]]/DegreeTable[[#This Row],[TCU]],0))</f>
        <v/>
      </c>
      <c r="U12" s="33"/>
      <c r="W12" s="1"/>
    </row>
    <row r="13" spans="1:23" x14ac:dyDescent="0.65">
      <c r="A13" s="44"/>
      <c r="B13" s="45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6"/>
      <c r="U13" s="47"/>
    </row>
    <row r="14" spans="1:23" x14ac:dyDescent="0.65">
      <c r="A14" s="44"/>
      <c r="B14" s="45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6"/>
      <c r="U14" s="47"/>
    </row>
    <row r="15" spans="1:23" x14ac:dyDescent="0.6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8" t="s">
        <v>54</v>
      </c>
      <c r="B17" s="38"/>
      <c r="C17" s="38"/>
      <c r="D17" s="38" t="s">
        <v>55</v>
      </c>
      <c r="E17" s="38"/>
      <c r="F17" s="38"/>
      <c r="G17" s="38"/>
      <c r="H17" s="38"/>
      <c r="I17" s="38"/>
      <c r="J17" s="38"/>
      <c r="K17" s="39"/>
      <c r="L17" s="39"/>
      <c r="M17" s="38"/>
      <c r="N17" s="39"/>
      <c r="O17" s="39"/>
      <c r="P17" s="56" t="s">
        <v>56</v>
      </c>
      <c r="Q17" s="56"/>
      <c r="R17" s="56"/>
      <c r="S17" s="56"/>
      <c r="T17" s="56"/>
      <c r="U17" s="56"/>
    </row>
    <row r="18" spans="1:21" x14ac:dyDescent="0.65">
      <c r="A18" s="40" t="s">
        <v>57</v>
      </c>
      <c r="B18" s="40"/>
      <c r="C18" s="40"/>
      <c r="D18" s="41" t="s">
        <v>58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57" t="s">
        <v>59</v>
      </c>
      <c r="Q18" s="57"/>
      <c r="R18" s="57"/>
      <c r="S18" s="57"/>
      <c r="T18" s="57"/>
      <c r="U18" s="57"/>
    </row>
    <row r="19" spans="1:21" x14ac:dyDescent="0.65">
      <c r="A19" s="42" t="s">
        <v>60</v>
      </c>
      <c r="B19" s="42"/>
      <c r="C19" s="42"/>
      <c r="D19" s="42" t="s">
        <v>61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 t="s">
        <v>61</v>
      </c>
      <c r="Q19" s="43"/>
      <c r="R19" s="43"/>
      <c r="S19" s="43"/>
      <c r="T19" s="43"/>
      <c r="U19" s="43"/>
    </row>
    <row r="20" spans="1:21" x14ac:dyDescent="0.65">
      <c r="A20" s="42" t="s">
        <v>62</v>
      </c>
      <c r="B20" s="42"/>
      <c r="C20" s="42"/>
      <c r="D20" s="42" t="s">
        <v>62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 t="s">
        <v>62</v>
      </c>
      <c r="Q20" s="42"/>
      <c r="R20" s="42"/>
      <c r="S20" s="42"/>
      <c r="T20" s="42"/>
      <c r="U20" s="42"/>
    </row>
  </sheetData>
  <mergeCells count="19">
    <mergeCell ref="A1:U1"/>
    <mergeCell ref="A2:U2"/>
    <mergeCell ref="A3:U3"/>
    <mergeCell ref="A4:U4"/>
    <mergeCell ref="B5:C5"/>
    <mergeCell ref="Q5:T5"/>
    <mergeCell ref="J10:K10"/>
    <mergeCell ref="H10:I10"/>
    <mergeCell ref="F10:G10"/>
    <mergeCell ref="D10:E10"/>
    <mergeCell ref="T10:U10"/>
    <mergeCell ref="D8:G8"/>
    <mergeCell ref="J8:L8"/>
    <mergeCell ref="O8:P8"/>
    <mergeCell ref="S8:T8"/>
    <mergeCell ref="R10:S10"/>
    <mergeCell ref="P10:Q10"/>
    <mergeCell ref="N10:O10"/>
    <mergeCell ref="L10:M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2021-10-24T22:16:02Z</dcterms:modified>
</cp:coreProperties>
</file>