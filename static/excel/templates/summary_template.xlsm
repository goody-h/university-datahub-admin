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96FA02CC-F5B6-47D9-A581-1619EB4B01BB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4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Summary'!$S$1</definedName>
    <definedName name="TQP_ROW" localSheetId="0">'[1]Degree Result'!$R$9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4" l="1"/>
  <c r="A8" i="4" s="1"/>
  <c r="R8" i="4"/>
  <c r="U8" i="4" s="1"/>
  <c r="G3" i="4"/>
  <c r="A12" i="3"/>
  <c r="R12" i="3"/>
  <c r="S12" i="3"/>
  <c r="Q8" i="3"/>
  <c r="M8" i="3"/>
  <c r="H8" i="3"/>
  <c r="C8" i="3"/>
  <c r="B8" i="3"/>
  <c r="V8" i="4" l="1"/>
  <c r="V4" i="4"/>
  <c r="T12" i="3"/>
  <c r="S8" i="3"/>
  <c r="G4" i="4" l="1"/>
  <c r="C4" i="4"/>
  <c r="A4" i="4"/>
  <c r="P4" i="4"/>
  <c r="L4" i="4"/>
</calcChain>
</file>

<file path=xl/sharedStrings.xml><?xml version="1.0" encoding="utf-8"?>
<sst xmlns="http://schemas.openxmlformats.org/spreadsheetml/2006/main" count="89" uniqueCount="64">
  <si>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</si>
  <si>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</si>
  <si>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</si>
  <si>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</si>
  <si>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</si>
  <si>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</si>
  <si>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</si>
  <si>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</si>
  <si>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</si>
  <si>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</si>
  <si>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</si>
  <si>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</si>
  <si>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</si>
  <si>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</si>
  <si>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</si>
  <si>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</si>
  <si>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</si>
  <si>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</si>
  <si>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</si>
  <si>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</si>
  <si>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</si>
  <si>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</si>
  <si>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</si>
  <si>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</si>
  <si>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</si>
  <si>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</si>
  <si>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</si>
  <si>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</si>
  <si>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</si>
  <si>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</si>
  <si>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</si>
  <si>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</si>
  <si>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</si>
  <si>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</si>
  <si>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</si>
  <si>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</si>
  <si>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</si>
  <si>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</si>
  <si>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</si>
  <si>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</si>
  <si>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</si>
  <si>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</si>
  <si>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</si>
  <si>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</si>
  <si>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</si>
  <si>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</si>
  <si>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</si>
  <si>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</si>
  <si>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</si>
  <si>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</si>
  <si>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</si>
  <si>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</si>
  <si>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</si>
  <si>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</si>
  <si>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</si>
  <si>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</si>
  <si>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</si>
  <si>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</si>
  <si>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</si>
  <si>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</si>
  <si>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</si>
  <si>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</si>
  <si>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</si>
  <si>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TCO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</si>
</sst>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7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0" fontId="1" fillId="0" borderId="6" xfId="0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6"/>
      <tableStyleElement type="headerRow" dxfId="75"/>
      <tableStyleElement type="totalRow" dxfId="74"/>
      <tableStyleElement type="firstRowStripe" dxfId="73"/>
    </tableStyle>
    <tableStyle name="Table Style 1" pivot="0" count="2" xr9:uid="{F3B52532-6567-4D06-B143-F5517C4B2318}">
      <tableStyleElement type="wholeTable" dxfId="72"/>
      <tableStyleElement type="headerRow" dxfId="7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53386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2BF2AA-2B11-4BBA-8254-8B64BD7E96AB}" name="SummaryTable3" displayName="SummaryTable3" ref="A7:V8">
  <autoFilter ref="A7:V8" xr:uid="{0767D862-8CCF-431A-9754-E5E349291777}"/>
  <sortState xmlns:xlrd2="http://schemas.microsoft.com/office/spreadsheetml/2017/richdata2" ref="A8:V8">
    <sortCondition descending="1" ref="U7:U8"/>
  </sortState>
  <tableColumns count="22">
    <tableColumn id="21" xr3:uid="{7E7D1EC1-6586-4FDE-BCE4-938D44DFABEE}" name="S/N" dataDxfId="62" totalsRowDxfId="61" dataCellStyle="Number Style">
      <calculatedColumnFormula>IF(SummaryTable3[[#This Row],[TCU]]="", "",COUNT(TCU_ROW:SummaryTable3[[#This Row],[TCU]]))</calculatedColumnFormula>
    </tableColumn>
    <tableColumn id="1" xr3:uid="{A840DFAF-E42F-44B7-B8CE-456D6A96CB2D}" name="Matric No." totalsRowLabel="Max"/>
    <tableColumn id="5" xr3:uid="{D19D9C4B-AA37-4B7B-B55C-7F600C52074E}" name="Name"/>
    <tableColumn id="8" xr3:uid="{4DC6BE1C-62C8-4D77-A490-8F9B6632BEE7}" name="QP1" totalsRowFunction="max" totalsRowDxfId="60" dataCellStyle="Number Style"/>
    <tableColumn id="9" xr3:uid="{3F07DF0F-2A50-4A56-B5B8-5AC45166EF5A}" name="CU1" totalsRowFunction="max" totalsRowDxfId="59" dataCellStyle="Number Style"/>
    <tableColumn id="7" xr3:uid="{EB81563E-B917-411A-AD69-68A8A8E1E5A4}" name="QP2" totalsRowFunction="max" totalsRowDxfId="58" dataCellStyle="Number Style"/>
    <tableColumn id="6" xr3:uid="{2C22A8AA-F9CF-4A5B-99DF-14926B2C0EB9}" name="CU2" totalsRowFunction="max" totalsRowDxfId="57" dataCellStyle="Number Style"/>
    <tableColumn id="10" xr3:uid="{AC09DC0C-933C-4B2A-94B4-C9EB98CFE754}" name="QP3" totalsRowFunction="max" totalsRowDxfId="56" dataCellStyle="Number Style"/>
    <tableColumn id="11" xr3:uid="{E36DA246-5248-4EE6-9CBC-D5D448BF77F6}" name="CU3" totalsRowFunction="max" totalsRowDxfId="55" dataCellStyle="Number Style"/>
    <tableColumn id="12" xr3:uid="{E1C49CD5-ECEA-43A9-A5A8-33ACBB717E32}" name="QP4" totalsRowFunction="max" totalsRowDxfId="54" dataCellStyle="Number Style"/>
    <tableColumn id="13" xr3:uid="{C4EEF70A-D3C4-4AEC-AC3F-124BCFD16D84}" name="CU4" totalsRowFunction="max" totalsRowDxfId="53" dataCellStyle="Number Style"/>
    <tableColumn id="14" xr3:uid="{676EB931-D55E-45C9-A42F-A386409B0068}" name="QP5" totalsRowFunction="max" totalsRowDxfId="52" dataCellStyle="Number Style"/>
    <tableColumn id="15" xr3:uid="{2AAB5D97-8C91-4F4D-B248-71CAF8730C2D}" name="CU5" totalsRowFunction="max" totalsRowDxfId="51" dataCellStyle="Number Style"/>
    <tableColumn id="18" xr3:uid="{4DE4506B-2D50-4DE4-AB45-64C9E54A63A9}" name="QP6" totalsRowFunction="max" totalsRowDxfId="50" dataCellStyle="Number Style"/>
    <tableColumn id="19" xr3:uid="{9A5C19DB-6C0F-4E9D-9C56-2A9B5E5665ED}" name="CU6" totalsRowFunction="max" totalsRowDxfId="49" dataCellStyle="Number Style"/>
    <tableColumn id="16" xr3:uid="{E1B6D112-47D6-417B-8A8A-BF1D8C76BB98}" name="QP7" totalsRowFunction="max" totalsRowDxfId="48" dataCellStyle="Number Style"/>
    <tableColumn id="17" xr3:uid="{0192FCAF-E1F3-4788-9986-07F9DB5D04DC}" name="CU7" totalsRowFunction="max" totalsRowDxfId="47" dataCellStyle="Number Style"/>
    <tableColumn id="3" xr3:uid="{40DEA5DF-AB53-4022-AD3F-A5A74143B17D}" name="TQP" totalsRowFunction="max" totalsRowDxfId="46" dataCellStyle="Number Style">
      <calculatedColumnFormula>SummaryTable3[[#This Row],[QP1]]+SummaryTable3[[#This Row],[QP2]]+SummaryTable3[[#This Row],[QP3]]+SummaryTable3[[#This Row],[QP4]]+SummaryTable3[[#This Row],[QP5]]+SummaryTable3[[#This Row],[QP6]]+SummaryTable3[[#This Row],[QP7]]</calculatedColumnFormula>
    </tableColumn>
    <tableColumn id="2" xr3:uid="{097F79D0-6AC0-4421-BAC8-99D29DCCECF8}" name="TCU" totalsRowFunction="max" totalsRowDxfId="45" dataCellStyle="Number Style">
      <calculatedColumnFormula>SummaryTable3[[#This Row],[CU1]]+SummaryTable3[[#This Row],[CU2]]+SummaryTable3[[#This Row],[CU3]]+SummaryTable3[[#This Row],[CU4]]+SummaryTable3[[#This Row],[CU5]]+SummaryTable3[[#This Row],[CU6]]+SummaryTable3[[#This Row],[CU7]]</calculatedColumnFormula>
    </tableColumn>
    <tableColumn id="23" xr3:uid="{3F8488AB-3BF2-4681-8459-3678494E86FB}" name="TCO" dataDxfId="44" totalsRowDxfId="43" dataCellStyle="Number Style"/>
    <tableColumn id="4" xr3:uid="{25A2AE5B-46E0-4FAD-8ECE-0998340CFB8E}" name="CGPA" totalsRowFunction="max" dataDxfId="42" totalsRowDxfId="41" dataCellStyle="GPAStyle">
      <calculatedColumnFormula>IFERROR(SummaryTable3[[#This Row],[TQP]]/SummaryTable3[[#This Row],[TCU]],0)</calculatedColumnFormula>
    </tableColumn>
    <tableColumn id="20" xr3:uid="{1AFD767A-1387-46D1-8125-3DDD4F5F2700}" name="CLASS" dataDxfId="40" dataCellStyle="Number Style">
      <calculatedColumnFormula>IF(SummaryTable3[[#This Row],[CGPA]]&gt;4.49,"1st",IF(SummaryTable3[[#This Row],[CGPA]]&gt;3.49,"2.1",IF(SummaryTable3[[#This Row],[CGPA]]&gt;2.39,"2.2",IF(SummaryTable3[[#This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B6DD3-8DEA-4E00-928E-ABDD52D40D9A}">
  <sheetPr codeName="Sheet2">
    <pageSetUpPr fitToPage="1"/>
  </sheetPr>
  <dimension ref="A3:X8"/>
  <sheetViews>
    <sheetView tabSelected="1" zoomScale="90" zoomScaleNormal="90" workbookViewId="0">
      <selection activeCell="B48" sqref="B48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20" width="9.20703125" customWidth="1"/>
    <col min="21" max="22" width="7.625" customWidth="1"/>
  </cols>
  <sheetData>
    <row r="3" spans="1:24" ht="14.75" x14ac:dyDescent="0.75">
      <c r="A3" s="66" t="s">
        <v>29</v>
      </c>
      <c r="B3" s="67"/>
      <c r="C3" s="6"/>
      <c r="D3" s="68" t="s">
        <v>34</v>
      </c>
      <c r="E3" s="68"/>
      <c r="F3" s="68"/>
      <c r="G3" s="57">
        <f>MAX(SummaryTable3[TCU])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3"/>
      <c r="V3" s="4"/>
    </row>
    <row r="4" spans="1:24" ht="14.75" x14ac:dyDescent="0.75">
      <c r="A4" s="69" t="str">
        <f>_xlfn.CONCAT("First Class:  ", COUNTIF(SummaryTable3[CLASS],"=1st"))</f>
        <v>First Class:  0</v>
      </c>
      <c r="B4" s="70"/>
      <c r="C4" s="7" t="str">
        <f>_xlfn.CONCAT("2nd Class Upper:  ", COUNTIF(SummaryTable3[CLASS],"=2.1"))</f>
        <v>2nd Class Upper:  0</v>
      </c>
      <c r="D4" s="71" t="s">
        <v>30</v>
      </c>
      <c r="E4" s="71"/>
      <c r="F4" s="71"/>
      <c r="G4" s="58">
        <f>COUNTIF(SummaryTable3[CLASS],"=2.2")</f>
        <v>0</v>
      </c>
      <c r="H4" s="7"/>
      <c r="I4" s="5"/>
      <c r="J4" s="71" t="s">
        <v>31</v>
      </c>
      <c r="K4" s="71"/>
      <c r="L4" s="58">
        <f>COUNTIF(SummaryTable3[CLASS],"=3rd")</f>
        <v>0</v>
      </c>
      <c r="M4" s="5"/>
      <c r="N4" s="5"/>
      <c r="O4" s="56" t="s">
        <v>32</v>
      </c>
      <c r="P4" s="58">
        <f>COUNTIF(SummaryTable3[CLASS],"=Pass")</f>
        <v>1</v>
      </c>
      <c r="Q4" s="5"/>
      <c r="R4" s="5"/>
      <c r="S4" s="5"/>
      <c r="T4" s="5"/>
      <c r="U4" s="56" t="s">
        <v>33</v>
      </c>
      <c r="V4" s="8">
        <f>COUNT(SummaryTable3[CGPA])</f>
        <v>1</v>
      </c>
    </row>
    <row r="6" spans="1:24" x14ac:dyDescent="0.65">
      <c r="D6" s="62" t="s">
        <v>20</v>
      </c>
      <c r="E6" s="62"/>
      <c r="F6" s="62" t="s">
        <v>21</v>
      </c>
      <c r="G6" s="62"/>
      <c r="H6" s="62" t="s">
        <v>22</v>
      </c>
      <c r="I6" s="62"/>
      <c r="J6" s="62" t="s">
        <v>23</v>
      </c>
      <c r="K6" s="62"/>
      <c r="L6" s="62" t="s">
        <v>24</v>
      </c>
      <c r="M6" s="62"/>
      <c r="N6" s="62" t="s">
        <v>25</v>
      </c>
      <c r="O6" s="62"/>
      <c r="P6" s="62" t="s">
        <v>26</v>
      </c>
      <c r="Q6" s="62"/>
      <c r="R6" s="63" t="s">
        <v>27</v>
      </c>
      <c r="S6" s="64"/>
      <c r="T6" s="65"/>
      <c r="U6" s="62" t="s">
        <v>28</v>
      </c>
      <c r="V6" s="62"/>
    </row>
    <row r="7" spans="1:24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63</v>
      </c>
      <c r="U7" s="2" t="s">
        <v>3</v>
      </c>
      <c r="V7" s="2" t="s">
        <v>19</v>
      </c>
      <c r="X7" s="1"/>
    </row>
    <row r="8" spans="1:24" x14ac:dyDescent="0.65">
      <c r="A8" s="60">
        <f>IF(SummaryTable3[[#This Row],[TCU]]="", "",COUNT(TCU_ROW:SummaryTable3[[#This Row],[TCU]]))</f>
        <v>1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>
        <f>SummaryTable3[[#This Row],[QP1]]+SummaryTable3[[#This Row],[QP2]]+SummaryTable3[[#This Row],[QP3]]+SummaryTable3[[#This Row],[QP4]]+SummaryTable3[[#This Row],[QP5]]+SummaryTable3[[#This Row],[QP6]]+SummaryTable3[[#This Row],[QP7]]</f>
        <v>0</v>
      </c>
      <c r="S8" s="60">
        <f>SummaryTable3[[#This Row],[CU1]]+SummaryTable3[[#This Row],[CU2]]+SummaryTable3[[#This Row],[CU3]]+SummaryTable3[[#This Row],[CU4]]+SummaryTable3[[#This Row],[CU5]]+SummaryTable3[[#This Row],[CU6]]+SummaryTable3[[#This Row],[CU7]]</f>
        <v>0</v>
      </c>
      <c r="T8" s="60"/>
      <c r="U8" s="61">
        <f>IFERROR(SummaryTable3[[#This Row],[TQP]]/SummaryTable3[[#This Row],[TCU]],0)</f>
        <v>0</v>
      </c>
      <c r="V8" s="60" t="str">
        <f>IF(SummaryTable3[[#This Row],[CGPA]]&gt;4.49,"1st",IF(SummaryTable3[[#This Row],[CGPA]]&gt;3.49,"2.1",IF(SummaryTable3[[#This Row],[CGPA]]&gt;2.39,"2.2",IF(SummaryTable3[[#This Row],[CGPA]]&gt;1.49,"3rd","Pass"))))</f>
        <v>Pass</v>
      </c>
      <c r="X8" s="1"/>
    </row>
  </sheetData>
  <mergeCells count="14">
    <mergeCell ref="D6:E6"/>
    <mergeCell ref="F6:G6"/>
    <mergeCell ref="H6:I6"/>
    <mergeCell ref="J6:K6"/>
    <mergeCell ref="A3:B3"/>
    <mergeCell ref="D3:F3"/>
    <mergeCell ref="A4:B4"/>
    <mergeCell ref="D4:F4"/>
    <mergeCell ref="J4:K4"/>
    <mergeCell ref="L6:M6"/>
    <mergeCell ref="N6:O6"/>
    <mergeCell ref="P6:Q6"/>
    <mergeCell ref="R6:T6"/>
    <mergeCell ref="U6:V6"/>
  </mergeCells>
  <conditionalFormatting sqref="S1:S1048576">
    <cfRule type="cellIs" dxfId="70" priority="8" operator="between">
      <formula>-0.5</formula>
      <formula>$G$3 - 0.5</formula>
    </cfRule>
  </conditionalFormatting>
  <conditionalFormatting sqref="S1:V1048576">
    <cfRule type="cellIs" priority="6" stopIfTrue="1" operator="equal">
      <formula>""</formula>
    </cfRule>
  </conditionalFormatting>
  <conditionalFormatting sqref="U1:U1048576">
    <cfRule type="cellIs" dxfId="69" priority="7" operator="lessThan">
      <formula>1</formula>
    </cfRule>
  </conditionalFormatting>
  <conditionalFormatting sqref="V1:V1048576">
    <cfRule type="cellIs" dxfId="68" priority="1" operator="equal">
      <formula>"Pass"</formula>
    </cfRule>
    <cfRule type="cellIs" dxfId="67" priority="2" operator="equal">
      <formula>"3rd"</formula>
    </cfRule>
    <cfRule type="cellIs" dxfId="66" priority="3" operator="equal">
      <formula>"2.2"</formula>
    </cfRule>
    <cfRule type="cellIs" dxfId="65" priority="4" operator="equal">
      <formula>"2.1"</formula>
    </cfRule>
    <cfRule type="cellIs" dxfId="64" priority="5" operator="equal">
      <formula>"1st"</formula>
    </cfRule>
  </conditionalFormatting>
  <conditionalFormatting sqref="T1:T1048576">
    <cfRule type="cellIs" dxfId="63" priority="9" operator="between">
      <formula>1</formula>
      <formula>$G$3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01" sqref="A101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2" t="s">
        <v>50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</row>
    <row r="2" spans="1:23" x14ac:dyDescent="0.65">
      <c r="A2" s="72" t="s">
        <v>56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</row>
    <row r="3" spans="1:23" x14ac:dyDescent="0.65">
      <c r="A3" s="72" t="s">
        <v>55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4" spans="1:23" x14ac:dyDescent="0.65">
      <c r="A4" s="72" t="s">
        <v>57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</row>
    <row r="5" spans="1:23" x14ac:dyDescent="0.65">
      <c r="A5" s="10"/>
      <c r="B5" s="73" t="s">
        <v>58</v>
      </c>
      <c r="C5" s="73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4" t="s">
        <v>54</v>
      </c>
      <c r="R5" s="74"/>
      <c r="S5" s="74"/>
      <c r="T5" s="74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5" t="s">
        <v>30</v>
      </c>
      <c r="E8" s="75"/>
      <c r="F8" s="75"/>
      <c r="G8" s="75"/>
      <c r="H8" s="24">
        <f>COUNTIF(U:U,"=22")</f>
        <v>0</v>
      </c>
      <c r="I8" s="16"/>
      <c r="J8" s="75" t="s">
        <v>31</v>
      </c>
      <c r="K8" s="75"/>
      <c r="L8" s="75"/>
      <c r="M8" s="24">
        <f>COUNTIF(U:U,"=3rd")</f>
        <v>0</v>
      </c>
      <c r="N8" s="16"/>
      <c r="O8" s="75" t="s">
        <v>32</v>
      </c>
      <c r="P8" s="75"/>
      <c r="Q8" s="24">
        <f>COUNTIF(U:U,"=Pass")</f>
        <v>0</v>
      </c>
      <c r="R8" s="16"/>
      <c r="S8" s="75" t="str">
        <f>_xlfn.CONCAT("Total: ", COUNT(R:R))</f>
        <v>Total: 0</v>
      </c>
      <c r="T8" s="76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7" t="s">
        <v>20</v>
      </c>
      <c r="E10" s="78"/>
      <c r="F10" s="77" t="s">
        <v>21</v>
      </c>
      <c r="G10" s="78"/>
      <c r="H10" s="77" t="s">
        <v>22</v>
      </c>
      <c r="I10" s="78"/>
      <c r="J10" s="77" t="s">
        <v>23</v>
      </c>
      <c r="K10" s="78"/>
      <c r="L10" s="77" t="s">
        <v>24</v>
      </c>
      <c r="M10" s="78"/>
      <c r="N10" s="77" t="s">
        <v>25</v>
      </c>
      <c r="O10" s="78"/>
      <c r="P10" s="77" t="s">
        <v>26</v>
      </c>
      <c r="Q10" s="78"/>
      <c r="R10" s="77" t="s">
        <v>27</v>
      </c>
      <c r="S10" s="78"/>
      <c r="T10" s="77" t="s">
        <v>28</v>
      </c>
      <c r="U10" s="78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9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2021-10-27T13:10:40Z</dcterms:modified>
</cp:coreProperties>
</file>