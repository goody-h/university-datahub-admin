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46A7DAFF-A5A7-44A9-BC86-F549E39A74BC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Summary'!$S$1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R12" i="3"/>
  <c r="S12" i="3"/>
  <c r="Q8" i="3"/>
  <c r="M8" i="3"/>
  <c r="H8" i="3"/>
  <c r="C8" i="3"/>
  <c r="B8" i="3"/>
  <c r="T12" i="3" l="1"/>
  <c r="S8" i="3"/>
  <c r="R8" i="1"/>
  <c r="S8" i="1"/>
  <c r="A8" i="1" s="1"/>
  <c r="T8" i="1" l="1"/>
  <c r="U8" i="1" s="1"/>
  <c r="G3" i="1"/>
  <c r="A4" i="1" l="1"/>
  <c r="U4" i="1"/>
  <c r="G4" i="1" l="1"/>
  <c r="C4" i="1"/>
  <c r="P4" i="1"/>
  <c r="L4" i="1"/>
</calcChain>
</file>

<file path=xl/sharedStrings.xml><?xml version="1.0" encoding="utf-8"?>
<sst xmlns="http://schemas.openxmlformats.org/spreadsheetml/2006/main" count="88" uniqueCount="63">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</sst>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6" fillId="0" borderId="0" xfId="3" applyFont="1" applyBorder="1" applyAlignment="1"/>
    <xf numFmtId="0" fontId="6" fillId="0" borderId="0" xfId="3" applyFont="1" applyBorder="1"/>
    <xf numFmtId="0" fontId="10" fillId="0" borderId="0" xfId="3" applyFont="1" applyBorder="1"/>
    <xf numFmtId="0" fontId="4" fillId="0" borderId="1" xfId="0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49" fontId="4" fillId="0" borderId="0" xfId="4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3"/>
      <tableStyleElement type="headerRow" dxfId="72"/>
      <tableStyleElement type="totalRow" dxfId="71"/>
      <tableStyleElement type="firstRowStripe" dxfId="70"/>
    </tableStyle>
    <tableStyle name="Table Style 1" pivot="0" count="2" xr9:uid="{F3B52532-6567-4D06-B143-F5517C4B2318}">
      <tableStyleElement type="wholeTable" dxfId="69"/>
      <tableStyleElement type="headerRow" dxfId="68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U8">
  <autoFilter ref="A7:U8" xr:uid="{0767D862-8CCF-431A-9754-E5E349291777}"/>
  <sortState xmlns:xlrd2="http://schemas.microsoft.com/office/spreadsheetml/2017/richdata2" ref="B8:U8">
    <sortCondition descending="1" ref="T7:T8"/>
  </sortState>
  <tableColumns count="21">
    <tableColumn id="21" xr3:uid="{ADB51665-ED5B-45A7-94A6-0DCA861E099D}" name="S/N" dataDxfId="60" totalsRowDxfId="59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8" dataCellStyle="Number Style"/>
    <tableColumn id="9" xr3:uid="{5204B242-A57C-4CE6-A269-1EEEE36EE15F}" name="CU1" totalsRowFunction="max" totalsRowDxfId="57" dataCellStyle="Number Style"/>
    <tableColumn id="7" xr3:uid="{07804743-89D7-473F-BABC-E87263AF17A8}" name="QP2" totalsRowFunction="max" totalsRowDxfId="56" dataCellStyle="Number Style"/>
    <tableColumn id="6" xr3:uid="{6A881AB3-08C5-4E99-A410-C51A8414D6EE}" name="CU2" totalsRowFunction="max" totalsRowDxfId="55" dataCellStyle="Number Style"/>
    <tableColumn id="10" xr3:uid="{74E222AD-C28C-46A6-BA57-68D3E7B886B3}" name="QP3" totalsRowFunction="max" totalsRowDxfId="54" dataCellStyle="Number Style"/>
    <tableColumn id="11" xr3:uid="{04AAA8E5-0836-4EE5-B7F1-F0E45CCA999F}" name="CU3" totalsRowFunction="max" totalsRowDxfId="53" dataCellStyle="Number Style"/>
    <tableColumn id="12" xr3:uid="{1D522166-EB32-4CDF-95A6-6922EE582131}" name="QP4" totalsRowFunction="max" totalsRowDxfId="52" dataCellStyle="Number Style"/>
    <tableColumn id="13" xr3:uid="{3FF9F0B9-4C66-48AE-92F5-8E95E01078E6}" name="CU4" totalsRowFunction="max" totalsRowDxfId="51" dataCellStyle="Number Style"/>
    <tableColumn id="14" xr3:uid="{5F8E3635-B3BC-467F-B4F7-D0A09C6FEED1}" name="QP5" totalsRowFunction="max" totalsRowDxfId="50" dataCellStyle="Number Style"/>
    <tableColumn id="15" xr3:uid="{20EF5D98-08DD-4ED8-8653-77A304D2B3CC}" name="CU5" totalsRowFunction="max" totalsRowDxfId="49" dataCellStyle="Number Style"/>
    <tableColumn id="18" xr3:uid="{D75E5019-06FC-48D0-B4C0-3B29E66740C0}" name="QP6" totalsRowFunction="max" totalsRowDxfId="48" dataCellStyle="Number Style"/>
    <tableColumn id="19" xr3:uid="{33A6AC78-E230-4B01-9B0F-377AD99CE1E7}" name="CU6" totalsRowFunction="max" totalsRowDxfId="47" dataCellStyle="Number Style"/>
    <tableColumn id="16" xr3:uid="{67694929-7983-4AFB-9433-C823426CA72A}" name="QP7" totalsRowFunction="max" totalsRowDxfId="46" dataCellStyle="Number Style"/>
    <tableColumn id="17" xr3:uid="{6E0E33D8-EDC4-4833-9680-E48C57D13966}" name="CU7" totalsRowFunction="max" totalsRowDxfId="45" dataCellStyle="Number Style"/>
    <tableColumn id="3" xr3:uid="{284CAE8F-75FF-4977-8EB0-92BEE5C42085}" name="TQP" totalsRowFunction="max" totalsRowDxfId="44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34A22D75-EE7F-40DB-875D-33CCEF3A60D6}" name="TCU" totalsRowFunction="max" totalsRowDxfId="43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4" xr3:uid="{12D26180-D890-4F1C-9FFB-00A2E34D19B5}" name="CGPA" totalsRowFunction="max" dataDxfId="42" totalsRowDxfId="41" dataCellStyle="GPAStyle">
      <calculatedColumnFormula>IFERROR(SummaryTable[[#This Row],[TQP]]/SummaryTable[[#This Row],[TCU]],0)</calculatedColumnFormula>
    </tableColumn>
    <tableColumn id="20" xr3:uid="{B86400EE-D3E2-4990-992B-21AB818397B6}" name="CLASS" dataDxfId="40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W8"/>
  <sheetViews>
    <sheetView tabSelected="1" zoomScaleNormal="100" workbookViewId="0">
      <selection activeCell="C227" sqref="C227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7" width="4.9140625" customWidth="1"/>
    <col min="18" max="21" width="7.625" customWidth="1"/>
  </cols>
  <sheetData>
    <row r="3" spans="1:23" ht="14.75" x14ac:dyDescent="0.75">
      <c r="A3" s="64" t="s">
        <v>29</v>
      </c>
      <c r="B3" s="65"/>
      <c r="C3" s="6"/>
      <c r="D3" s="68" t="s">
        <v>34</v>
      </c>
      <c r="E3" s="68"/>
      <c r="F3" s="68"/>
      <c r="G3" s="10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4"/>
    </row>
    <row r="4" spans="1:23" ht="14.75" x14ac:dyDescent="0.75">
      <c r="A4" s="66" t="str">
        <f>_xlfn.CONCAT("First Class:  ", COUNTIF(SummaryTable[CLASS],"=1st"))</f>
        <v>First Class:  0</v>
      </c>
      <c r="B4" s="67"/>
      <c r="C4" s="7" t="str">
        <f>_xlfn.CONCAT("2nd Class Upper:  ", COUNTIF(SummaryTable[CLASS],"=2.1"))</f>
        <v>2nd Class Upper:  0</v>
      </c>
      <c r="D4" s="63" t="s">
        <v>30</v>
      </c>
      <c r="E4" s="63"/>
      <c r="F4" s="63"/>
      <c r="G4" s="8">
        <f>COUNTIF(SummaryTable[CLASS],"=2.2")</f>
        <v>0</v>
      </c>
      <c r="H4" s="7"/>
      <c r="I4" s="5"/>
      <c r="J4" s="63" t="s">
        <v>31</v>
      </c>
      <c r="K4" s="63"/>
      <c r="L4" s="8">
        <f>COUNTIF(SummaryTable[CLASS],"=3rd")</f>
        <v>0</v>
      </c>
      <c r="M4" s="5"/>
      <c r="N4" s="5"/>
      <c r="O4" s="13" t="s">
        <v>32</v>
      </c>
      <c r="P4" s="8">
        <f>COUNTIF(SummaryTable[CLASS],"=Pass")</f>
        <v>1</v>
      </c>
      <c r="Q4" s="5"/>
      <c r="R4" s="5"/>
      <c r="S4" s="5"/>
      <c r="T4" s="13" t="s">
        <v>33</v>
      </c>
      <c r="U4" s="9">
        <f>COUNT(SummaryTable[CGPA])</f>
        <v>1</v>
      </c>
    </row>
    <row r="6" spans="1:23" x14ac:dyDescent="0.65">
      <c r="D6" s="62" t="s">
        <v>20</v>
      </c>
      <c r="E6" s="62"/>
      <c r="F6" s="62" t="s">
        <v>21</v>
      </c>
      <c r="G6" s="62"/>
      <c r="H6" s="62" t="s">
        <v>22</v>
      </c>
      <c r="I6" s="62"/>
      <c r="J6" s="62" t="s">
        <v>23</v>
      </c>
      <c r="K6" s="62"/>
      <c r="L6" s="62" t="s">
        <v>24</v>
      </c>
      <c r="M6" s="62"/>
      <c r="N6" s="62" t="s">
        <v>25</v>
      </c>
      <c r="O6" s="62"/>
      <c r="P6" s="62" t="s">
        <v>26</v>
      </c>
      <c r="Q6" s="62"/>
      <c r="R6" s="62" t="s">
        <v>27</v>
      </c>
      <c r="S6" s="62"/>
      <c r="T6" s="62" t="s">
        <v>28</v>
      </c>
      <c r="U6" s="62"/>
    </row>
    <row r="7" spans="1:23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3</v>
      </c>
      <c r="U7" s="2" t="s">
        <v>19</v>
      </c>
      <c r="W7" s="1"/>
    </row>
    <row r="8" spans="1:23" x14ac:dyDescent="0.65">
      <c r="A8" s="24">
        <f>IF(SummaryTable[[#This Row],[TCU]]="", "",COUNT(TCU_ROW:SummaryTable[[#This Row],[TCU]]))</f>
        <v>1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8" s="11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8" s="12">
        <f>IFERROR(SummaryTable[[#This Row],[TQP]]/SummaryTable[[#This Row],[TCU]],0)</f>
        <v>0</v>
      </c>
      <c r="U8" s="47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8" s="1"/>
    </row>
  </sheetData>
  <mergeCells count="14">
    <mergeCell ref="A3:B3"/>
    <mergeCell ref="A4:B4"/>
    <mergeCell ref="D3:F3"/>
    <mergeCell ref="J4:K4"/>
    <mergeCell ref="P6:Q6"/>
    <mergeCell ref="R6:S6"/>
    <mergeCell ref="T6:U6"/>
    <mergeCell ref="D4:F4"/>
    <mergeCell ref="H6:I6"/>
    <mergeCell ref="D6:E6"/>
    <mergeCell ref="F6:G6"/>
    <mergeCell ref="J6:K6"/>
    <mergeCell ref="L6:M6"/>
    <mergeCell ref="N6:O6"/>
  </mergeCells>
  <phoneticPr fontId="3" type="noConversion"/>
  <conditionalFormatting sqref="S1:S1048576">
    <cfRule type="cellIs" dxfId="67" priority="9" operator="between">
      <formula>-0.5</formula>
      <formula>$G$3 - 0.5</formula>
    </cfRule>
  </conditionalFormatting>
  <conditionalFormatting sqref="S1:U1048576">
    <cfRule type="cellIs" priority="6" stopIfTrue="1" operator="equal">
      <formula>""</formula>
    </cfRule>
  </conditionalFormatting>
  <conditionalFormatting sqref="T1:T1048576">
    <cfRule type="cellIs" dxfId="66" priority="8" operator="lessThan">
      <formula>1</formula>
    </cfRule>
  </conditionalFormatting>
  <conditionalFormatting sqref="U1:U1048576">
    <cfRule type="cellIs" dxfId="65" priority="1" operator="equal">
      <formula>"Pass"</formula>
    </cfRule>
    <cfRule type="cellIs" dxfId="64" priority="2" operator="equal">
      <formula>"3rd"</formula>
    </cfRule>
    <cfRule type="cellIs" dxfId="63" priority="3" operator="equal">
      <formula>"2.2"</formula>
    </cfRule>
    <cfRule type="cellIs" dxfId="62" priority="4" operator="equal">
      <formula>"2.1"</formula>
    </cfRule>
    <cfRule type="cellIs" dxfId="61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101" sqref="A101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69" t="s">
        <v>50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</row>
    <row r="2" spans="1:23" x14ac:dyDescent="0.65">
      <c r="A2" s="69" t="s">
        <v>56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</row>
    <row r="3" spans="1:23" x14ac:dyDescent="0.65">
      <c r="A3" s="69" t="s">
        <v>55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</row>
    <row r="4" spans="1:23" x14ac:dyDescent="0.65">
      <c r="A4" s="69" t="s">
        <v>57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</row>
    <row r="5" spans="1:23" x14ac:dyDescent="0.65">
      <c r="A5" s="15"/>
      <c r="B5" s="70" t="s">
        <v>58</v>
      </c>
      <c r="C5" s="70"/>
      <c r="D5" s="15"/>
      <c r="E5" s="15"/>
      <c r="F5" s="17"/>
      <c r="G5" s="17"/>
      <c r="H5" s="17"/>
      <c r="I5" s="17"/>
      <c r="J5" s="17"/>
      <c r="K5" s="17"/>
      <c r="L5" s="17"/>
      <c r="N5" s="30"/>
      <c r="O5" s="30"/>
      <c r="P5" s="30"/>
      <c r="Q5" s="71" t="s">
        <v>54</v>
      </c>
      <c r="R5" s="71"/>
      <c r="S5" s="71"/>
      <c r="T5" s="71"/>
      <c r="U5" s="15"/>
    </row>
    <row r="6" spans="1:23" x14ac:dyDescent="0.65">
      <c r="A6" s="15"/>
      <c r="B6" s="16"/>
      <c r="C6" s="16"/>
      <c r="D6" s="15"/>
      <c r="E6" s="15"/>
      <c r="F6" s="17"/>
      <c r="G6" s="17"/>
      <c r="H6" s="17"/>
      <c r="I6" s="17"/>
      <c r="J6" s="17"/>
      <c r="K6" s="17"/>
      <c r="L6" s="17"/>
      <c r="M6" s="18"/>
      <c r="N6" s="18"/>
      <c r="O6" s="18"/>
      <c r="P6" s="18"/>
      <c r="Q6" s="18"/>
      <c r="R6" s="18"/>
      <c r="S6" s="18"/>
      <c r="T6" s="18"/>
      <c r="U6" s="15"/>
    </row>
    <row r="7" spans="1:23" x14ac:dyDescent="0.65">
      <c r="A7" s="33"/>
      <c r="B7" s="23" t="s">
        <v>29</v>
      </c>
      <c r="C7" s="25"/>
      <c r="D7" s="26"/>
      <c r="E7" s="26"/>
      <c r="F7" s="26"/>
      <c r="G7" s="26"/>
      <c r="H7" s="27"/>
      <c r="I7" s="25"/>
      <c r="J7" s="25"/>
      <c r="K7" s="25"/>
      <c r="L7" s="25"/>
      <c r="M7" s="25"/>
      <c r="N7" s="25"/>
      <c r="O7" s="25"/>
      <c r="P7" s="25"/>
      <c r="Q7" s="25"/>
      <c r="R7" s="19"/>
      <c r="S7" s="19"/>
      <c r="T7" s="20"/>
      <c r="U7" s="33"/>
    </row>
    <row r="8" spans="1:23" x14ac:dyDescent="0.65">
      <c r="A8" s="33"/>
      <c r="B8" s="36" t="str">
        <f>_xlfn.CONCAT("First Class:  ", COUNTIF(U:U,"=11"))</f>
        <v>First Class:  0</v>
      </c>
      <c r="C8" s="28" t="str">
        <f>_xlfn.CONCAT("2nd Class Upper:  ", COUNTIF(U:U,"=21"))</f>
        <v>2nd Class Upper:  0</v>
      </c>
      <c r="D8" s="72" t="s">
        <v>30</v>
      </c>
      <c r="E8" s="72"/>
      <c r="F8" s="72"/>
      <c r="G8" s="72"/>
      <c r="H8" s="29">
        <f>COUNTIF(U:U,"=22")</f>
        <v>0</v>
      </c>
      <c r="I8" s="21"/>
      <c r="J8" s="72" t="s">
        <v>31</v>
      </c>
      <c r="K8" s="72"/>
      <c r="L8" s="72"/>
      <c r="M8" s="29">
        <f>COUNTIF(U:U,"=3rd")</f>
        <v>0</v>
      </c>
      <c r="N8" s="21"/>
      <c r="O8" s="72" t="s">
        <v>32</v>
      </c>
      <c r="P8" s="72"/>
      <c r="Q8" s="29">
        <f>COUNTIF(U:U,"=Pass")</f>
        <v>0</v>
      </c>
      <c r="R8" s="21"/>
      <c r="S8" s="72" t="str">
        <f>_xlfn.CONCAT("Total: ", COUNT(R:R))</f>
        <v>Total: 0</v>
      </c>
      <c r="T8" s="73"/>
      <c r="U8" s="35"/>
    </row>
    <row r="9" spans="1:23" x14ac:dyDescent="0.6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3" x14ac:dyDescent="0.65">
      <c r="A10" s="50"/>
      <c r="B10" s="34"/>
      <c r="C10" s="34"/>
      <c r="D10" s="74" t="s">
        <v>20</v>
      </c>
      <c r="E10" s="75"/>
      <c r="F10" s="74" t="s">
        <v>21</v>
      </c>
      <c r="G10" s="75"/>
      <c r="H10" s="74" t="s">
        <v>22</v>
      </c>
      <c r="I10" s="75"/>
      <c r="J10" s="74" t="s">
        <v>23</v>
      </c>
      <c r="K10" s="75"/>
      <c r="L10" s="74" t="s">
        <v>24</v>
      </c>
      <c r="M10" s="75"/>
      <c r="N10" s="74" t="s">
        <v>25</v>
      </c>
      <c r="O10" s="75"/>
      <c r="P10" s="74" t="s">
        <v>26</v>
      </c>
      <c r="Q10" s="75"/>
      <c r="R10" s="74" t="s">
        <v>27</v>
      </c>
      <c r="S10" s="75"/>
      <c r="T10" s="74" t="s">
        <v>28</v>
      </c>
      <c r="U10" s="75"/>
    </row>
    <row r="11" spans="1:23" x14ac:dyDescent="0.65">
      <c r="A11" s="14" t="s">
        <v>49</v>
      </c>
      <c r="B11" s="51" t="s">
        <v>0</v>
      </c>
      <c r="C11" s="52" t="s">
        <v>4</v>
      </c>
      <c r="D11" s="53" t="s">
        <v>35</v>
      </c>
      <c r="E11" s="53" t="s">
        <v>42</v>
      </c>
      <c r="F11" s="53" t="s">
        <v>36</v>
      </c>
      <c r="G11" s="53" t="s">
        <v>43</v>
      </c>
      <c r="H11" s="53" t="s">
        <v>37</v>
      </c>
      <c r="I11" s="53" t="s">
        <v>44</v>
      </c>
      <c r="J11" s="53" t="s">
        <v>38</v>
      </c>
      <c r="K11" s="53" t="s">
        <v>45</v>
      </c>
      <c r="L11" s="53" t="s">
        <v>39</v>
      </c>
      <c r="M11" s="53" t="s">
        <v>46</v>
      </c>
      <c r="N11" s="53" t="s">
        <v>40</v>
      </c>
      <c r="O11" s="53" t="s">
        <v>47</v>
      </c>
      <c r="P11" s="53" t="s">
        <v>41</v>
      </c>
      <c r="Q11" s="53" t="s">
        <v>48</v>
      </c>
      <c r="R11" s="53" t="s">
        <v>2</v>
      </c>
      <c r="S11" s="53" t="s">
        <v>1</v>
      </c>
      <c r="T11" s="53" t="s">
        <v>3</v>
      </c>
      <c r="U11" s="54" t="s">
        <v>19</v>
      </c>
      <c r="W11" s="1"/>
    </row>
    <row r="12" spans="1:23" x14ac:dyDescent="0.65">
      <c r="A12" s="48" t="str">
        <f>IF(DegreeTable[[#This Row],[Name]]="", "",COUNT(TQP_ROW:DegreeTable[[#This Row],[TQP]]))</f>
        <v/>
      </c>
      <c r="B12" s="57"/>
      <c r="C12" s="58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48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8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9" t="str">
        <f>IF(DegreeTable[[#This Row],[Name]]="", "",IFERROR(DegreeTable[[#This Row],[TQP]]/DegreeTable[[#This Row],[TCU]],0))</f>
        <v/>
      </c>
      <c r="U12" s="76"/>
      <c r="W12" s="1"/>
    </row>
    <row r="13" spans="1:23" x14ac:dyDescent="0.65">
      <c r="A13" s="43"/>
      <c r="B13" s="44"/>
      <c r="C13" s="44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5"/>
      <c r="U13" s="46"/>
    </row>
    <row r="14" spans="1:23" x14ac:dyDescent="0.65">
      <c r="A14" s="43"/>
      <c r="B14" s="44"/>
      <c r="C14" s="44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5"/>
      <c r="U14" s="46"/>
    </row>
    <row r="15" spans="1:23" x14ac:dyDescent="0.6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</row>
    <row r="16" spans="1:23" x14ac:dyDescent="0.65">
      <c r="A16" s="32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65">
      <c r="A17" s="37" t="s">
        <v>51</v>
      </c>
      <c r="B17" s="37"/>
      <c r="C17" s="37"/>
      <c r="D17" s="37" t="s">
        <v>52</v>
      </c>
      <c r="E17" s="37"/>
      <c r="F17" s="37"/>
      <c r="G17" s="37"/>
      <c r="H17" s="37"/>
      <c r="I17" s="37"/>
      <c r="J17" s="37"/>
      <c r="K17" s="38"/>
      <c r="L17" s="38"/>
      <c r="M17" s="37"/>
      <c r="N17" s="38"/>
      <c r="O17" s="38"/>
      <c r="P17" s="55" t="s">
        <v>53</v>
      </c>
      <c r="Q17" s="55"/>
      <c r="R17" s="55"/>
      <c r="S17" s="55"/>
      <c r="T17" s="55"/>
      <c r="U17" s="55"/>
    </row>
    <row r="18" spans="1:21" x14ac:dyDescent="0.65">
      <c r="A18" s="60" t="s">
        <v>59</v>
      </c>
      <c r="B18" s="39"/>
      <c r="C18" s="39"/>
      <c r="D18" s="59" t="s">
        <v>59</v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59" t="s">
        <v>59</v>
      </c>
      <c r="Q18" s="56"/>
      <c r="R18" s="56"/>
      <c r="S18" s="56"/>
      <c r="T18" s="56"/>
      <c r="U18" s="56"/>
    </row>
    <row r="19" spans="1:21" x14ac:dyDescent="0.65">
      <c r="A19" s="61" t="s">
        <v>60</v>
      </c>
      <c r="B19" s="41"/>
      <c r="C19" s="41"/>
      <c r="D19" s="61" t="s">
        <v>62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61" t="s">
        <v>62</v>
      </c>
      <c r="Q19" s="42"/>
      <c r="R19" s="42"/>
      <c r="S19" s="42"/>
      <c r="T19" s="42"/>
      <c r="U19" s="42"/>
    </row>
    <row r="20" spans="1:21" x14ac:dyDescent="0.65">
      <c r="A20" s="61" t="s">
        <v>61</v>
      </c>
      <c r="B20" s="41"/>
      <c r="C20" s="41"/>
      <c r="D20" s="61" t="s">
        <v>61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61" t="s">
        <v>61</v>
      </c>
      <c r="Q20" s="41"/>
      <c r="R20" s="41"/>
      <c r="S20" s="41"/>
      <c r="T20" s="41"/>
      <c r="U20" s="41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2021-10-27T10:08:47Z</dcterms:modified>
</cp:coreProperties>
</file>