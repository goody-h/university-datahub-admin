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84EEF3E6-E08F-40E4-8446-50AEC32E98F8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<sst xmlns="http://schemas.openxmlformats.org/spreadsheetml/2006/main" count="88" uniqueCount="65">
  <si>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</si>
  <si>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</si>
  <si>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</si>
  <si>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</si>
  <si>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</si>
  <si>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</si>
  <si>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</si>
  <si>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</si>
  <si>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</si>
  <si>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</si>
  <si>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</si>
  <si>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</si>
  <si>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</si>
  <si>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</si>
  <si>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</si>
  <si>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</si>
  <si>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</si>
  <si>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</si>
  <si>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</si>
  <si>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</si>
  <si>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</si>
  <si>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</si>
  <si>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</si>
  <si>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</si>
  <si>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</si>
  <si>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</si>
  <si>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</si>
  <si>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</si>
  <si>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</si>
  <si>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</si>
  <si>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</si>
  <si>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</si>
  <si>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</si>
  <si>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</si>
  <si>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</si>
  <si>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</si>
  <si>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</si>
  <si>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</si>
  <si>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</si>
  <si>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</si>
  <si>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</si>
  <si>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</si>
  <si>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</si>
  <si>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</si>
  <si>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</si>
  <si>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</si>
  <si>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</si>
  <si>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</si>
  <si>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</si>
  <si>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</si>
  <si>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</si>
  <si>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t>DEPARTMENT OF MECHANICAL ENGINEERING (MECHANICAL ENGINEERING PROGRAMME)</t>
  </si>
  <si>
    <t>MODE OF STUDY: FULL-TIME</t>
  </si>
  <si>
    <t>FACULTY OF ENGINEERING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</si>
  <si>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</si>
  <si>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</si>
  <si>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</si>
  <si>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r>
      <t xml:space="preserve">Name: </t>
    </r>
    <r>
      <rPr>
        <sz val="10"/>
        <rFont val="Arial"/>
        <family val="2"/>
      </rPr>
      <t xml:space="preserve">Dr. A. Big-Alabo                          </t>
    </r>
    <r>
      <rPr>
        <b/>
        <sz val="10"/>
        <rFont val="Arial"/>
        <family val="2"/>
      </rPr>
      <t/>
    </r>
  </si>
  <si>
    <r>
      <t xml:space="preserve">Name: </t>
    </r>
    <r>
      <rPr>
        <sz val="10"/>
        <rFont val="Arial"/>
        <family val="2"/>
      </rPr>
      <t>Prof. R. Uhunwangho</t>
    </r>
  </si>
  <si>
    <r>
      <rPr>
        <b/>
        <sz val="10"/>
        <rFont val="Arial"/>
        <family val="2"/>
      </rPr>
      <t>Name</t>
    </r>
    <r>
      <rPr>
        <sz val="10"/>
        <rFont val="Arial"/>
        <family val="2"/>
      </rPr>
      <t>: Prof. B. T. Lebele-Alawa</t>
    </r>
  </si>
  <si>
    <r>
      <rPr>
        <b/>
        <sz val="10"/>
        <rFont val="Arial"/>
        <family val="2"/>
      </rPr>
      <t>Sign:</t>
    </r>
    <r>
      <rPr>
        <sz val="10"/>
        <rFont val="Arial"/>
        <family val="2"/>
      </rPr>
      <t xml:space="preserve">……………………………..                         </t>
    </r>
  </si>
  <si>
    <r>
      <rPr>
        <b/>
        <sz val="10"/>
        <rFont val="Arial"/>
        <family val="2"/>
      </rPr>
      <t>Sign</t>
    </r>
    <r>
      <rPr>
        <sz val="10"/>
        <rFont val="Arial"/>
        <family val="2"/>
      </rPr>
      <t>:……………………………..</t>
    </r>
  </si>
  <si>
    <r>
      <rPr>
        <b/>
        <sz val="10"/>
        <rFont val="Arial"/>
        <family val="2"/>
      </rPr>
      <t>Date</t>
    </r>
    <r>
      <rPr>
        <sz val="10"/>
        <rFont val="Arial"/>
        <family val="2"/>
      </rPr>
      <t>:……………………………….........</t>
    </r>
  </si>
  <si>
    <t>MASTER MARK SHEET FOR THE AWARD OF BACHELOR OF ENGINEERING (B. ENG.) DEGREE</t>
  </si>
  <si>
    <t>SESSION: 20__/20__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</si>
</sst>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2" dataCellStyle="Normal 2"/>
    <tableColumn id="8" xr3:uid="{0D0E4684-0995-4DEF-ACB6-8648D3F82EDC}" name="QP" totalsRowFunction="max" dataDxfId="3" totalsRowDxfId="35" dataCellStyle="Number Style"/>
    <tableColumn id="9" xr3:uid="{8D1B1E20-EA63-415B-8CD9-04893B2D72FB}" name="CU" totalsRowFunction="max" dataDxfId="34" totalsRowDxfId="33" dataCellStyle="Number Style"/>
    <tableColumn id="7" xr3:uid="{E3223D13-ED4C-405E-9713-2FD05E3F31D0}" name=" QP " totalsRowFunction="max" dataDxfId="32" totalsRowDxfId="31" dataCellStyle="Number Style"/>
    <tableColumn id="6" xr3:uid="{3489DBCF-1B38-4FB5-B01C-66C417D4DE5A}" name=" CU " totalsRowFunction="max" dataDxfId="30" totalsRowDxfId="29" dataCellStyle="Number Style"/>
    <tableColumn id="10" xr3:uid="{B8B42F79-6152-4F56-BB62-1154A33091D5}" name="  QP  " totalsRowFunction="max" dataDxfId="28" totalsRowDxfId="27" dataCellStyle="Number Style"/>
    <tableColumn id="11" xr3:uid="{4B806845-BC5A-4E1E-8502-B0155B49077C}" name="  CU  " totalsRowFunction="max" dataDxfId="26" totalsRowDxfId="25" dataCellStyle="Number Style"/>
    <tableColumn id="12" xr3:uid="{EBD1AECA-A627-42A8-8801-0EE0DBD4A275}" name="   QP   " totalsRowFunction="max" dataDxfId="24" totalsRowDxfId="23" dataCellStyle="Number Style"/>
    <tableColumn id="13" xr3:uid="{7552F0D6-A0C9-41F6-961C-900BE21C171F}" name="   CU   " totalsRowFunction="max" dataDxfId="22" totalsRowDxfId="21" dataCellStyle="Number Style"/>
    <tableColumn id="14" xr3:uid="{B1F76EFF-4E66-4F4E-A70C-AECB4C931F9D}" name="    QP    " totalsRowFunction="max" dataDxfId="20" totalsRowDxfId="19" dataCellStyle="Number Style"/>
    <tableColumn id="15" xr3:uid="{A58F761E-2DCA-4EB4-AB1E-C6FF0998BD38}" name="    CU    " totalsRowFunction="max" dataDxfId="18" totalsRowDxfId="17" dataCellStyle="Number Style"/>
    <tableColumn id="18" xr3:uid="{443690B0-2C5B-4FEA-8533-EF488546160D}" name="     QP     " totalsRowFunction="max" dataDxfId="16" totalsRowDxfId="15" dataCellStyle="Number Style"/>
    <tableColumn id="19" xr3:uid="{061629B8-8E35-4631-B805-A1F0F37371A9}" name="     CU     " totalsRowFunction="max" dataDxfId="14" totalsRowDxfId="13" dataCellStyle="Number Style"/>
    <tableColumn id="16" xr3:uid="{7C39ACA2-28D6-47B9-B2C6-3D38BE551BBB}" name="      QP      " totalsRowFunction="max" dataDxfId="12" totalsRowDxfId="11" dataCellStyle="Number Style"/>
    <tableColumn id="17" xr3:uid="{1F80A33A-A2B2-42AD-84ED-14FE907E5F50}" name="      CU      " totalsRowFunction="max" dataDxfId="10" totalsRowDxfId="9" dataCellStyle="Number Style"/>
    <tableColumn id="3" xr3:uid="{263F0515-932A-4948-9DF1-4A8A2B8F549C}" name="TQP" totalsRowFunction="max" dataDxfId="8" totalsRowDxfId="7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6" totalsRowDxfId="5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4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D209" sqref="D209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2" t="s">
        <v>29</v>
      </c>
      <c r="B3" s="63"/>
      <c r="C3" s="6"/>
      <c r="D3" s="66" t="s">
        <v>34</v>
      </c>
      <c r="E3" s="66"/>
      <c r="F3" s="66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4" t="str">
        <f>_xlfn.CONCAT("First Class:  ", COUNTIF(SummaryTable[CLASS],"=1st"))</f>
        <v>First Class:  0</v>
      </c>
      <c r="B4" s="65"/>
      <c r="C4" s="7" t="str">
        <f>_xlfn.CONCAT("2nd Class Upper:  ", COUNTIF(SummaryTable[CLASS],"=2.1"))</f>
        <v>2nd Class Upper:  0</v>
      </c>
      <c r="D4" s="61" t="s">
        <v>30</v>
      </c>
      <c r="E4" s="61"/>
      <c r="F4" s="61"/>
      <c r="G4" s="8">
        <f>COUNTIF(SummaryTable[CLASS],"=2.2")</f>
        <v>0</v>
      </c>
      <c r="H4" s="7"/>
      <c r="I4" s="5"/>
      <c r="J4" s="61" t="s">
        <v>31</v>
      </c>
      <c r="K4" s="61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0" t="s">
        <v>20</v>
      </c>
      <c r="E6" s="60"/>
      <c r="F6" s="60" t="s">
        <v>21</v>
      </c>
      <c r="G6" s="60"/>
      <c r="H6" s="60" t="s">
        <v>22</v>
      </c>
      <c r="I6" s="60"/>
      <c r="J6" s="60" t="s">
        <v>23</v>
      </c>
      <c r="K6" s="60"/>
      <c r="L6" s="60" t="s">
        <v>24</v>
      </c>
      <c r="M6" s="60"/>
      <c r="N6" s="60" t="s">
        <v>25</v>
      </c>
      <c r="O6" s="60"/>
      <c r="P6" s="60" t="s">
        <v>26</v>
      </c>
      <c r="Q6" s="60"/>
      <c r="R6" s="60" t="s">
        <v>27</v>
      </c>
      <c r="S6" s="60"/>
      <c r="T6" s="60" t="s">
        <v>28</v>
      </c>
      <c r="U6" s="60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K249" sqref="K249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7" t="s">
        <v>50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</row>
    <row r="2" spans="1:23" x14ac:dyDescent="0.65">
      <c r="A2" s="67" t="s">
        <v>53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</row>
    <row r="3" spans="1:23" x14ac:dyDescent="0.65">
      <c r="A3" s="67" t="s">
        <v>51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</row>
    <row r="4" spans="1:23" x14ac:dyDescent="0.65">
      <c r="A4" s="67" t="s">
        <v>63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</row>
    <row r="5" spans="1:23" x14ac:dyDescent="0.65">
      <c r="A5" s="15"/>
      <c r="B5" s="68" t="s">
        <v>52</v>
      </c>
      <c r="C5" s="68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69" t="s">
        <v>64</v>
      </c>
      <c r="R5" s="69"/>
      <c r="S5" s="69"/>
      <c r="T5" s="69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9">
        <f>COUNTIF(U:U,"=22")</f>
        <v>0</v>
      </c>
      <c r="I8" s="21"/>
      <c r="J8" s="72" t="s">
        <v>31</v>
      </c>
      <c r="K8" s="72"/>
      <c r="L8" s="72"/>
      <c r="M8" s="29">
        <f>COUNTIF(U:U,"=3rd")</f>
        <v>0</v>
      </c>
      <c r="N8" s="21"/>
      <c r="O8" s="72" t="s">
        <v>32</v>
      </c>
      <c r="P8" s="72"/>
      <c r="Q8" s="29">
        <f>COUNTIF(U:U,"=Pass")</f>
        <v>0</v>
      </c>
      <c r="R8" s="21"/>
      <c r="S8" s="72" t="str">
        <f>_xlfn.CONCAT("Total: ", COUNT(R:R))</f>
        <v>Total: 0</v>
      </c>
      <c r="T8" s="73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70" t="s">
        <v>20</v>
      </c>
      <c r="E10" s="71"/>
      <c r="F10" s="70" t="s">
        <v>21</v>
      </c>
      <c r="G10" s="71"/>
      <c r="H10" s="70" t="s">
        <v>22</v>
      </c>
      <c r="I10" s="71"/>
      <c r="J10" s="70" t="s">
        <v>23</v>
      </c>
      <c r="K10" s="71"/>
      <c r="L10" s="70" t="s">
        <v>24</v>
      </c>
      <c r="M10" s="71"/>
      <c r="N10" s="70" t="s">
        <v>25</v>
      </c>
      <c r="O10" s="71"/>
      <c r="P10" s="70" t="s">
        <v>26</v>
      </c>
      <c r="Q10" s="71"/>
      <c r="R10" s="70" t="s">
        <v>27</v>
      </c>
      <c r="S10" s="71"/>
      <c r="T10" s="70" t="s">
        <v>28</v>
      </c>
      <c r="U10" s="71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54</v>
      </c>
      <c r="B17" s="38"/>
      <c r="C17" s="38"/>
      <c r="D17" s="38" t="s">
        <v>55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56</v>
      </c>
      <c r="Q17" s="56"/>
      <c r="R17" s="56"/>
      <c r="S17" s="56"/>
      <c r="T17" s="56"/>
      <c r="U17" s="56"/>
    </row>
    <row r="18" spans="1:21" x14ac:dyDescent="0.65">
      <c r="A18" s="40" t="s">
        <v>57</v>
      </c>
      <c r="B18" s="40"/>
      <c r="C18" s="40"/>
      <c r="D18" s="41" t="s">
        <v>58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57" t="s">
        <v>59</v>
      </c>
      <c r="Q18" s="57"/>
      <c r="R18" s="57"/>
      <c r="S18" s="57"/>
      <c r="T18" s="57"/>
      <c r="U18" s="57"/>
    </row>
    <row r="19" spans="1:21" x14ac:dyDescent="0.65">
      <c r="A19" s="42" t="s">
        <v>60</v>
      </c>
      <c r="B19" s="42"/>
      <c r="C19" s="42"/>
      <c r="D19" s="42" t="s">
        <v>61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 t="s">
        <v>61</v>
      </c>
      <c r="Q19" s="43"/>
      <c r="R19" s="43"/>
      <c r="S19" s="43"/>
      <c r="T19" s="43"/>
      <c r="U19" s="43"/>
    </row>
    <row r="20" spans="1:21" x14ac:dyDescent="0.65">
      <c r="A20" s="42" t="s">
        <v>62</v>
      </c>
      <c r="B20" s="42"/>
      <c r="C20" s="42"/>
      <c r="D20" s="42" t="s">
        <v>62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 t="s">
        <v>62</v>
      </c>
      <c r="Q20" s="42"/>
      <c r="R20" s="42"/>
      <c r="S20" s="42"/>
      <c r="T20" s="42"/>
      <c r="U20" s="42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2021-10-25T08:00:58Z</dcterms:modified>
</cp:coreProperties>
</file>