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9B31DB0F-EF01-4C71-AE58-857DB392DE06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<sst xmlns="http://schemas.openxmlformats.org/spreadsheetml/2006/main" count="88" uniqueCount="63">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</sst>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6" fillId="0" borderId="0" xfId="3" applyFont="1" applyBorder="1" applyAlignment="1"/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6" fillId="0" borderId="0" xfId="3" applyFont="1" applyBorder="1"/>
    <xf numFmtId="0" fontId="10" fillId="0" borderId="0" xfId="3" applyFont="1" applyBorder="1"/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5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4"/>
      <tableStyleElement type="headerRow" dxfId="73"/>
      <tableStyleElement type="totalRow" dxfId="72"/>
      <tableStyleElement type="firstRowStripe" dxfId="71"/>
    </tableStyle>
    <tableStyle name="Table Style 1" pivot="0" count="2" xr9:uid="{F3B52532-6567-4D06-B143-F5517C4B2318}">
      <tableStyleElement type="wholeTable" dxfId="70"/>
      <tableStyleElement type="headerRow" dxfId="6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1" totalsRowDxfId="60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9" dataCellStyle="Number Style"/>
    <tableColumn id="9" xr3:uid="{5204B242-A57C-4CE6-A269-1EEEE36EE15F}" name="CU1" totalsRowFunction="max" totalsRowDxfId="58" dataCellStyle="Number Style"/>
    <tableColumn id="7" xr3:uid="{07804743-89D7-473F-BABC-E87263AF17A8}" name="QP2" totalsRowFunction="max" totalsRowDxfId="57" dataCellStyle="Number Style"/>
    <tableColumn id="6" xr3:uid="{6A881AB3-08C5-4E99-A410-C51A8414D6EE}" name="CU2" totalsRowFunction="max" totalsRowDxfId="56" dataCellStyle="Number Style"/>
    <tableColumn id="10" xr3:uid="{74E222AD-C28C-46A6-BA57-68D3E7B886B3}" name="QP3" totalsRowFunction="max" totalsRowDxfId="55" dataCellStyle="Number Style"/>
    <tableColumn id="11" xr3:uid="{04AAA8E5-0836-4EE5-B7F1-F0E45CCA999F}" name="CU3" totalsRowFunction="max" totalsRowDxfId="54" dataCellStyle="Number Style"/>
    <tableColumn id="12" xr3:uid="{1D522166-EB32-4CDF-95A6-6922EE582131}" name="QP4" totalsRowFunction="max" totalsRowDxfId="53" dataCellStyle="Number Style"/>
    <tableColumn id="13" xr3:uid="{3FF9F0B9-4C66-48AE-92F5-8E95E01078E6}" name="CU4" totalsRowFunction="max" totalsRowDxfId="52" dataCellStyle="Number Style"/>
    <tableColumn id="14" xr3:uid="{5F8E3635-B3BC-467F-B4F7-D0A09C6FEED1}" name="QP5" totalsRowFunction="max" totalsRowDxfId="51" dataCellStyle="Number Style"/>
    <tableColumn id="15" xr3:uid="{20EF5D98-08DD-4ED8-8653-77A304D2B3CC}" name="CU5" totalsRowFunction="max" totalsRowDxfId="50" dataCellStyle="Number Style"/>
    <tableColumn id="18" xr3:uid="{D75E5019-06FC-48D0-B4C0-3B29E66740C0}" name="QP6" totalsRowFunction="max" totalsRowDxfId="49" dataCellStyle="Number Style"/>
    <tableColumn id="19" xr3:uid="{33A6AC78-E230-4B01-9B0F-377AD99CE1E7}" name="CU6" totalsRowFunction="max" totalsRowDxfId="48" dataCellStyle="Number Style"/>
    <tableColumn id="16" xr3:uid="{67694929-7983-4AFB-9433-C823426CA72A}" name="QP7" totalsRowFunction="max" totalsRowDxfId="47" dataCellStyle="Number Style"/>
    <tableColumn id="17" xr3:uid="{6E0E33D8-EDC4-4833-9680-E48C57D13966}" name="CU7" totalsRowFunction="max" totalsRowDxfId="46" dataCellStyle="Number Style"/>
    <tableColumn id="3" xr3:uid="{284CAE8F-75FF-4977-8EB0-92BEE5C42085}" name="TQP" totalsRowFunction="max" totalsRowDxfId="45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4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3" totalsRowDxfId="42" dataCellStyle="GPAStyle">
      <calculatedColumnFormula>IFERROR(SummaryTable[[#This Row],[TQP]]/SummaryTable[[#This Row],[TCU]],0)</calculatedColumnFormula>
    </tableColumn>
    <tableColumn id="20" xr3:uid="{B86400EE-D3E2-4990-992B-21AB818397B6}" name="CLASS" dataDxfId="41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40" dataDxfId="38" totalsRowDxfId="37" headerRowBorderDxfId="39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6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5" dataCellStyle="Normal 2"/>
    <tableColumn id="8" xr3:uid="{0D0E4684-0995-4DEF-ACB6-8648D3F82EDC}" name="QP" totalsRowFunction="max" dataDxfId="34" totalsRowDxfId="33" dataCellStyle="Number Style"/>
    <tableColumn id="9" xr3:uid="{8D1B1E20-EA63-415B-8CD9-04893B2D72FB}" name="CU" totalsRowFunction="max" dataDxfId="32" totalsRowDxfId="31" dataCellStyle="Number Style"/>
    <tableColumn id="7" xr3:uid="{E3223D13-ED4C-405E-9713-2FD05E3F31D0}" name=" QP " totalsRowFunction="max" dataDxfId="30" totalsRowDxfId="29" dataCellStyle="Number Style"/>
    <tableColumn id="6" xr3:uid="{3489DBCF-1B38-4FB5-B01C-66C417D4DE5A}" name=" CU " totalsRowFunction="max" dataDxfId="28" totalsRowDxfId="27" dataCellStyle="Number Style"/>
    <tableColumn id="10" xr3:uid="{B8B42F79-6152-4F56-BB62-1154A33091D5}" name="  QP  " totalsRowFunction="max" dataDxfId="26" totalsRowDxfId="25" dataCellStyle="Number Style"/>
    <tableColumn id="11" xr3:uid="{4B806845-BC5A-4E1E-8502-B0155B49077C}" name="  CU  " totalsRowFunction="max" dataDxfId="24" totalsRowDxfId="23" dataCellStyle="Number Style"/>
    <tableColumn id="12" xr3:uid="{EBD1AECA-A627-42A8-8801-0EE0DBD4A275}" name="   QP   " totalsRowFunction="max" dataDxfId="22" totalsRowDxfId="21" dataCellStyle="Number Style"/>
    <tableColumn id="13" xr3:uid="{7552F0D6-A0C9-41F6-961C-900BE21C171F}" name="   CU   " totalsRowFunction="max" dataDxfId="20" totalsRowDxfId="19" dataCellStyle="Number Style"/>
    <tableColumn id="14" xr3:uid="{B1F76EFF-4E66-4F4E-A70C-AECB4C931F9D}" name="    QP    " totalsRowFunction="max" dataDxfId="18" totalsRowDxfId="17" dataCellStyle="Number Style"/>
    <tableColumn id="15" xr3:uid="{A58F761E-2DCA-4EB4-AB1E-C6FF0998BD38}" name="    CU    " totalsRowFunction="max" dataDxfId="16" totalsRowDxfId="15" dataCellStyle="Number Style"/>
    <tableColumn id="18" xr3:uid="{443690B0-2C5B-4FEA-8533-EF488546160D}" name="     QP     " totalsRowFunction="max" dataDxfId="14" totalsRowDxfId="13" dataCellStyle="Number Style"/>
    <tableColumn id="19" xr3:uid="{061629B8-8E35-4631-B805-A1F0F37371A9}" name="     CU     " totalsRowFunction="max" dataDxfId="12" totalsRowDxfId="11" dataCellStyle="Number Style"/>
    <tableColumn id="16" xr3:uid="{7C39ACA2-28D6-47B9-B2C6-3D38BE551BBB}" name="      QP      " totalsRowFunction="max" dataDxfId="10" totalsRowDxfId="9" dataCellStyle="Number Style"/>
    <tableColumn id="17" xr3:uid="{1F80A33A-A2B2-42AD-84ED-14FE907E5F50}" name="      CU      " totalsRowFunction="max" dataDxfId="8" totalsRowDxfId="7" dataCellStyle="Number Style"/>
    <tableColumn id="3" xr3:uid="{263F0515-932A-4948-9DF1-4A8A2B8F549C}" name="TQP" totalsRowFunction="max" dataDxfId="6" totalsRowDxfId="5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4" totalsRowDxfId="3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2" totalsRowDxfId="1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C227" sqref="C227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3" t="s">
        <v>29</v>
      </c>
      <c r="B3" s="64"/>
      <c r="C3" s="6"/>
      <c r="D3" s="67" t="s">
        <v>34</v>
      </c>
      <c r="E3" s="67"/>
      <c r="F3" s="67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5" t="str">
        <f>_xlfn.CONCAT("First Class:  ", COUNTIF(SummaryTable[CLASS],"=1st"))</f>
        <v>First Class:  0</v>
      </c>
      <c r="B4" s="66"/>
      <c r="C4" s="7" t="str">
        <f>_xlfn.CONCAT("2nd Class Upper:  ", COUNTIF(SummaryTable[CLASS],"=2.1"))</f>
        <v>2nd Class Upper:  0</v>
      </c>
      <c r="D4" s="62" t="s">
        <v>30</v>
      </c>
      <c r="E4" s="62"/>
      <c r="F4" s="62"/>
      <c r="G4" s="8">
        <f>COUNTIF(SummaryTable[CLASS],"=2.2")</f>
        <v>0</v>
      </c>
      <c r="H4" s="7"/>
      <c r="I4" s="5"/>
      <c r="J4" s="62" t="s">
        <v>31</v>
      </c>
      <c r="K4" s="62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1" t="s">
        <v>20</v>
      </c>
      <c r="E6" s="61"/>
      <c r="F6" s="61" t="s">
        <v>21</v>
      </c>
      <c r="G6" s="61"/>
      <c r="H6" s="61" t="s">
        <v>22</v>
      </c>
      <c r="I6" s="61"/>
      <c r="J6" s="61" t="s">
        <v>23</v>
      </c>
      <c r="K6" s="61"/>
      <c r="L6" s="61" t="s">
        <v>24</v>
      </c>
      <c r="M6" s="61"/>
      <c r="N6" s="61" t="s">
        <v>25</v>
      </c>
      <c r="O6" s="61"/>
      <c r="P6" s="61" t="s">
        <v>26</v>
      </c>
      <c r="Q6" s="61"/>
      <c r="R6" s="61" t="s">
        <v>27</v>
      </c>
      <c r="S6" s="61"/>
      <c r="T6" s="61" t="s">
        <v>28</v>
      </c>
      <c r="U6" s="61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A3:B3"/>
    <mergeCell ref="A4:B4"/>
    <mergeCell ref="D3:F3"/>
    <mergeCell ref="J4:K4"/>
    <mergeCell ref="P6:Q6"/>
    <mergeCell ref="R6:S6"/>
    <mergeCell ref="T6:U6"/>
    <mergeCell ref="D4:F4"/>
    <mergeCell ref="H6:I6"/>
    <mergeCell ref="D6:E6"/>
    <mergeCell ref="F6:G6"/>
    <mergeCell ref="J6:K6"/>
    <mergeCell ref="L6:M6"/>
    <mergeCell ref="N6:O6"/>
  </mergeCells>
  <phoneticPr fontId="3" type="noConversion"/>
  <conditionalFormatting sqref="S1:S1048576">
    <cfRule type="cellIs" dxfId="68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U1:U1048576">
    <cfRule type="cellIs" dxfId="66" priority="1" operator="equal">
      <formula>"Pass"</formula>
    </cfRule>
    <cfRule type="cellIs" dxfId="65" priority="2" operator="equal">
      <formula>"3rd"</formula>
    </cfRule>
    <cfRule type="cellIs" dxfId="64" priority="3" operator="equal">
      <formula>"2.2"</formula>
    </cfRule>
    <cfRule type="cellIs" dxfId="63" priority="4" operator="equal">
      <formula>"2.1"</formula>
    </cfRule>
    <cfRule type="cellIs" dxfId="62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topLeftCell="A19" zoomScaleNormal="100" zoomScalePageLayoutView="50" workbookViewId="0">
      <selection activeCell="C36" sqref="C36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68" t="s">
        <v>50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3" x14ac:dyDescent="0.65">
      <c r="A2" s="68" t="s">
        <v>56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3" x14ac:dyDescent="0.65">
      <c r="A3" s="68" t="s">
        <v>55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3" x14ac:dyDescent="0.65">
      <c r="A4" s="68" t="s">
        <v>57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3" x14ac:dyDescent="0.65">
      <c r="A5" s="15"/>
      <c r="B5" s="69" t="s">
        <v>58</v>
      </c>
      <c r="C5" s="69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70" t="s">
        <v>54</v>
      </c>
      <c r="R5" s="70"/>
      <c r="S5" s="70"/>
      <c r="T5" s="70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1" t="s">
        <v>30</v>
      </c>
      <c r="E8" s="71"/>
      <c r="F8" s="71"/>
      <c r="G8" s="71"/>
      <c r="H8" s="29">
        <f>COUNTIF(U:U,"=22")</f>
        <v>0</v>
      </c>
      <c r="I8" s="21"/>
      <c r="J8" s="71" t="s">
        <v>31</v>
      </c>
      <c r="K8" s="71"/>
      <c r="L8" s="71"/>
      <c r="M8" s="29">
        <f>COUNTIF(U:U,"=3rd")</f>
        <v>0</v>
      </c>
      <c r="N8" s="21"/>
      <c r="O8" s="71" t="s">
        <v>32</v>
      </c>
      <c r="P8" s="71"/>
      <c r="Q8" s="29">
        <f>COUNTIF(U:U,"=Pass")</f>
        <v>0</v>
      </c>
      <c r="R8" s="21"/>
      <c r="S8" s="71" t="str">
        <f>_xlfn.CONCAT("Total: ", COUNT(R:R))</f>
        <v>Total: 0</v>
      </c>
      <c r="T8" s="72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73" t="s">
        <v>20</v>
      </c>
      <c r="E10" s="74"/>
      <c r="F10" s="73" t="s">
        <v>21</v>
      </c>
      <c r="G10" s="74"/>
      <c r="H10" s="73" t="s">
        <v>22</v>
      </c>
      <c r="I10" s="74"/>
      <c r="J10" s="73" t="s">
        <v>23</v>
      </c>
      <c r="K10" s="74"/>
      <c r="L10" s="73" t="s">
        <v>24</v>
      </c>
      <c r="M10" s="74"/>
      <c r="N10" s="73" t="s">
        <v>25</v>
      </c>
      <c r="O10" s="74"/>
      <c r="P10" s="73" t="s">
        <v>26</v>
      </c>
      <c r="Q10" s="74"/>
      <c r="R10" s="73" t="s">
        <v>27</v>
      </c>
      <c r="S10" s="74"/>
      <c r="T10" s="73" t="s">
        <v>28</v>
      </c>
      <c r="U10" s="74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51</v>
      </c>
      <c r="B17" s="38"/>
      <c r="C17" s="38"/>
      <c r="D17" s="38" t="s">
        <v>52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53</v>
      </c>
      <c r="Q17" s="56"/>
      <c r="R17" s="56"/>
      <c r="S17" s="56"/>
      <c r="T17" s="56"/>
      <c r="U17" s="56"/>
    </row>
    <row r="18" spans="1:21" x14ac:dyDescent="0.65">
      <c r="A18" s="75" t="s">
        <v>59</v>
      </c>
      <c r="B18" s="40"/>
      <c r="C18" s="40"/>
      <c r="D18" s="60" t="s">
        <v>59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60" t="s">
        <v>59</v>
      </c>
      <c r="Q18" s="57"/>
      <c r="R18" s="57"/>
      <c r="S18" s="57"/>
      <c r="T18" s="57"/>
      <c r="U18" s="57"/>
    </row>
    <row r="19" spans="1:21" x14ac:dyDescent="0.65">
      <c r="A19" s="76" t="s">
        <v>60</v>
      </c>
      <c r="B19" s="42"/>
      <c r="C19" s="42"/>
      <c r="D19" s="76" t="s">
        <v>62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76" t="s">
        <v>62</v>
      </c>
      <c r="Q19" s="43"/>
      <c r="R19" s="43"/>
      <c r="S19" s="43"/>
      <c r="T19" s="43"/>
      <c r="U19" s="43"/>
    </row>
    <row r="20" spans="1:21" x14ac:dyDescent="0.65">
      <c r="A20" s="76" t="s">
        <v>61</v>
      </c>
      <c r="B20" s="42"/>
      <c r="C20" s="42"/>
      <c r="D20" s="76" t="s">
        <v>61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76" t="s">
        <v>61</v>
      </c>
      <c r="Q20" s="42"/>
      <c r="R20" s="42"/>
      <c r="S20" s="42"/>
      <c r="T20" s="42"/>
      <c r="U20" s="42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2021-10-26T12:20:35Z</dcterms:modified>
</cp:coreProperties>
</file>