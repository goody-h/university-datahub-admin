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BADFE7B3-BC9D-4F6B-AA60-7546699F1010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R12" i="3"/>
  <c r="S12" i="3"/>
  <c r="Q8" i="3"/>
  <c r="M8" i="3"/>
  <c r="H8" i="3"/>
  <c r="A7" i="5" l="1"/>
  <c r="V7" i="5"/>
  <c r="W7" i="5" s="1"/>
  <c r="W3" i="5"/>
  <c r="T12" i="3"/>
  <c r="C3" i="5" l="1"/>
  <c r="A3" i="5"/>
  <c r="G3" i="5"/>
  <c r="P3" i="5"/>
  <c r="L3" i="5"/>
</calcChain>
</file>

<file path=xl/sharedStrings.xml><?xml version="1.0" encoding="utf-8"?>
<sst xmlns="http://schemas.openxmlformats.org/spreadsheetml/2006/main" count="93" uniqueCount="68">
  <si>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</si>
  <si>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</si>
  <si>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</si>
  <si>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</si>
  <si>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</si>
  <si>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</si>
  <si>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</si>
  <si>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</si>
  <si>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</si>
  <si>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</si>
  <si>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</si>
  <si>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</si>
  <si>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</si>
  <si>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</si>
  <si>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</si>
  <si>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</si>
  <si>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</si>
  <si>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</si>
  <si>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</si>
  <si>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</si>
  <si>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</si>
  <si>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</si>
  <si>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</si>
  <si>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</si>
  <si>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</si>
  <si>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</si>
  <si>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</si>
  <si>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</si>
  <si>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</si>
  <si>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</si>
  <si>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</si>
  <si>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</si>
  <si>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</si>
  <si>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</si>
  <si>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</si>
  <si>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</si>
  <si>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</si>
  <si>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</si>
  <si>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</si>
  <si>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</si>
  <si>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</si>
  <si>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</si>
  <si>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</si>
  <si>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</si>
  <si>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</si>
  <si>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</si>
  <si>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</si>
  <si>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</si>
  <si>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</si>
  <si>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</si>
  <si>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</si>
  <si>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</si>
  <si>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</si>
  <si>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</si>
  <si>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</si>
  <si>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</si>
  <si>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</si>
  <si>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</si>
  <si>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</si>
  <si>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</si>
  <si>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</si>
  <si>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</si>
  <si>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</si>
  <si>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</si>
  <si>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</si>
  <si>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</si>
  <si>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</si>
  <si>
    <t>Waivers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</si>
</sst>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11" fillId="0" borderId="0" xfId="5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6">
    <cellStyle name="ClassStyle" xfId="4" xr:uid="{48CDF681-3C37-4934-92E1-8107ED7DF40A}"/>
    <cellStyle name="GPAStyle" xfId="1" xr:uid="{598DCCA2-33D8-4C15-9939-EE9625C09B9F}"/>
    <cellStyle name="Hyperlink" xfId="5" builtinId="8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6"/>
      <tableStyleElement type="headerRow" dxfId="85"/>
      <tableStyleElement type="totalRow" dxfId="84"/>
      <tableStyleElement type="firstRowStripe" dxfId="83"/>
    </tableStyle>
    <tableStyle name="Table Style 1" pivot="0" count="2" xr9:uid="{F3B52532-6567-4D06-B143-F5517C4B2318}">
      <tableStyleElement type="wholeTable" dxfId="82"/>
      <tableStyleElement type="headerRow" dxfId="8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Z7">
  <autoFilter ref="A6:Z7" xr:uid="{0767D862-8CCF-431A-9754-E5E349291777}"/>
  <sortState xmlns:xlrd2="http://schemas.microsoft.com/office/spreadsheetml/2017/richdata2" ref="A7:W7">
    <sortCondition descending="1" ref="V6:V7"/>
  </sortState>
  <tableColumns count="26">
    <tableColumn id="21" xr3:uid="{1B527F64-E0F9-4307-BD68-3382BA96703F}" name="S/N" dataDxfId="80" totalsRowDxfId="79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 dataCellStyle="Hyperlink"/>
    <tableColumn id="5" xr3:uid="{D53DC9BA-CDE2-4004-9507-CB1F7CF81D85}" name="Name"/>
    <tableColumn id="8" xr3:uid="{75EBFF9A-4C86-4EC7-8B4B-05A56B724688}" name="QP1" totalsRowFunction="max" totalsRowDxfId="78" dataCellStyle="Number Style"/>
    <tableColumn id="9" xr3:uid="{CAF691DF-5DFA-4A30-ADDD-601B761CD6DF}" name="CU1" totalsRowFunction="max" totalsRowDxfId="77" dataCellStyle="Number Style"/>
    <tableColumn id="7" xr3:uid="{1D6124EE-0D72-4EAB-B3D7-2E0C65A86952}" name="QP2" totalsRowFunction="max" totalsRowDxfId="76" dataCellStyle="Number Style"/>
    <tableColumn id="6" xr3:uid="{CDE0C98A-8CD8-4953-85DF-717E24A57994}" name="CU2" totalsRowFunction="max" totalsRowDxfId="75" dataCellStyle="Number Style"/>
    <tableColumn id="10" xr3:uid="{0C2F236B-B630-4E9B-85D6-D09BC739584C}" name="QP3" totalsRowFunction="max" totalsRowDxfId="74" dataCellStyle="Number Style"/>
    <tableColumn id="11" xr3:uid="{194E5118-CA37-4BD0-A27C-C5CA78E4BF45}" name="CU3" totalsRowFunction="max" totalsRowDxfId="73" dataCellStyle="Number Style"/>
    <tableColumn id="12" xr3:uid="{7EF968C9-C609-40C8-803C-D43794E4E589}" name="QP4" totalsRowFunction="max" totalsRowDxfId="72" dataCellStyle="Number Style"/>
    <tableColumn id="13" xr3:uid="{1E5A50C7-C7A2-4062-8A88-2003D2B1EDCF}" name="CU4" totalsRowFunction="max" totalsRowDxfId="71" dataCellStyle="Number Style"/>
    <tableColumn id="14" xr3:uid="{32DC63A6-FCA8-4E11-A712-6E15C82EEC84}" name="QP5" totalsRowFunction="max" totalsRowDxfId="70" dataCellStyle="Number Style"/>
    <tableColumn id="15" xr3:uid="{759E5568-EC3A-4E2E-921C-7EC91761021D}" name="CU5" totalsRowFunction="max" totalsRowDxfId="69" dataCellStyle="Number Style"/>
    <tableColumn id="18" xr3:uid="{B75C69A9-8222-4A28-82D5-46499A60CFF0}" name="QP6" totalsRowFunction="max" totalsRowDxfId="68" dataCellStyle="Number Style"/>
    <tableColumn id="19" xr3:uid="{38E0F9D0-4467-4E3A-8ADD-2F51C23CE35D}" name="CU6" totalsRowFunction="max" totalsRowDxfId="67" dataCellStyle="Number Style"/>
    <tableColumn id="16" xr3:uid="{7BE3DE22-168E-4F93-8676-36190C9EA9A5}" name="QP7" totalsRowFunction="max" totalsRowDxfId="66" dataCellStyle="Number Style"/>
    <tableColumn id="17" xr3:uid="{55B64F04-9A33-4928-97A9-A2BA0F814256}" name="CU7" totalsRowFunction="max" totalsRowDxfId="65" dataCellStyle="Number Style"/>
    <tableColumn id="3" xr3:uid="{020DF1CF-5931-44A0-BBF9-26EE370E8508}" name="TQP" totalsRowFunction="max" totalsRowDxfId="64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63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62" totalsRowDxfId="61" dataCellStyle="Number Style"/>
    <tableColumn id="22" xr3:uid="{C0041667-512F-4DE1-A523-5F493A8EE3BD}" name="Review" dataDxfId="60" totalsRowDxfId="59" dataCellStyle="Number Style"/>
    <tableColumn id="4" xr3:uid="{0CCD673E-E273-46AC-B826-771979480FC5}" name="CGPA" totalsRowFunction="max" dataDxfId="58" totalsRowDxfId="57" dataCellStyle="GPAStyle">
      <calculatedColumnFormula>IFERROR(SummaryTable[[#This Row],[TQP]]/SummaryTable[[#This Row],[TCU]],0)</calculatedColumnFormula>
    </tableColumn>
    <tableColumn id="20" xr3:uid="{0A864BFD-F0E1-40B4-BB0D-EA6D7C0A32D9}" name="CLASS" dataDxfId="56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3DD68A8A-5487-4CE2-9321-6A6B10F3DA77}" name="Graduate" totalsRowDxfId="55" dataCellStyle="Number Style"/>
    <tableColumn id="26" xr3:uid="{6E785132-6690-4746-B50D-C789EEF13D8C}" name="Waivers" dataCellStyle="Number Style"/>
    <tableColumn id="25" xr3:uid="{673B718E-27A7-40A2-9E52-4DBFBF471B14}" name="Outstanding Courses" totalsRowDxfId="54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53" dataDxfId="51" totalsRowDxfId="50" headerRowBorderDxfId="52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49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48" dataCellStyle="Normal 2"/>
    <tableColumn id="8" xr3:uid="{0D0E4684-0995-4DEF-ACB6-8648D3F82EDC}" name="QP" totalsRowFunction="max" dataDxfId="47" totalsRowDxfId="46" dataCellStyle="Number Style"/>
    <tableColumn id="9" xr3:uid="{8D1B1E20-EA63-415B-8CD9-04893B2D72FB}" name="CU" totalsRowFunction="max" dataDxfId="45" totalsRowDxfId="44" dataCellStyle="Number Style"/>
    <tableColumn id="7" xr3:uid="{E3223D13-ED4C-405E-9713-2FD05E3F31D0}" name=" QP " totalsRowFunction="max" dataDxfId="43" totalsRowDxfId="42" dataCellStyle="Number Style"/>
    <tableColumn id="6" xr3:uid="{3489DBCF-1B38-4FB5-B01C-66C417D4DE5A}" name=" CU " totalsRowFunction="max" dataDxfId="41" totalsRowDxfId="40" dataCellStyle="Number Style"/>
    <tableColumn id="10" xr3:uid="{B8B42F79-6152-4F56-BB62-1154A33091D5}" name="  QP  " totalsRowFunction="max" dataDxfId="39" totalsRowDxfId="38" dataCellStyle="Number Style"/>
    <tableColumn id="11" xr3:uid="{4B806845-BC5A-4E1E-8502-B0155B49077C}" name="  CU  " totalsRowFunction="max" dataDxfId="37" totalsRowDxfId="36" dataCellStyle="Number Style"/>
    <tableColumn id="12" xr3:uid="{EBD1AECA-A627-42A8-8801-0EE0DBD4A275}" name="   QP   " totalsRowFunction="max" dataDxfId="35" totalsRowDxfId="34" dataCellStyle="Number Style"/>
    <tableColumn id="13" xr3:uid="{7552F0D6-A0C9-41F6-961C-900BE21C171F}" name="   CU   " totalsRowFunction="max" dataDxfId="33" totalsRowDxfId="32" dataCellStyle="Number Style"/>
    <tableColumn id="14" xr3:uid="{B1F76EFF-4E66-4F4E-A70C-AECB4C931F9D}" name="    QP    " totalsRowFunction="max" dataDxfId="31" totalsRowDxfId="30" dataCellStyle="Number Style"/>
    <tableColumn id="15" xr3:uid="{A58F761E-2DCA-4EB4-AB1E-C6FF0998BD38}" name="    CU    " totalsRowFunction="max" dataDxfId="29" totalsRowDxfId="28" dataCellStyle="Number Style"/>
    <tableColumn id="18" xr3:uid="{443690B0-2C5B-4FEA-8533-EF488546160D}" name="     QP     " totalsRowFunction="max" dataDxfId="27" totalsRowDxfId="26" dataCellStyle="Number Style"/>
    <tableColumn id="19" xr3:uid="{061629B8-8E35-4631-B805-A1F0F37371A9}" name="     CU     " totalsRowFunction="max" dataDxfId="25" totalsRowDxfId="24" dataCellStyle="Number Style"/>
    <tableColumn id="16" xr3:uid="{7C39ACA2-28D6-47B9-B2C6-3D38BE551BBB}" name="      QP      " totalsRowFunction="max" dataDxfId="23" totalsRowDxfId="22" dataCellStyle="Number Style"/>
    <tableColumn id="17" xr3:uid="{1F80A33A-A2B2-42AD-84ED-14FE907E5F50}" name="      CU      " totalsRowFunction="max" dataDxfId="21" totalsRowDxfId="20" dataCellStyle="Number Style"/>
    <tableColumn id="3" xr3:uid="{263F0515-932A-4948-9DF1-4A8A2B8F549C}" name="TQP" totalsRowFunction="max" dataDxfId="19" totalsRowDxfId="18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17" totalsRowDxfId="16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5" totalsRowDxfId="14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Z7"/>
  <sheetViews>
    <sheetView tabSelected="1" zoomScale="80" zoomScaleNormal="80" workbookViewId="0">
      <selection activeCell="A64" sqref="A64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21" customWidth="1"/>
    <col min="26" max="26" width="73.28515625" customWidth="1"/>
  </cols>
  <sheetData>
    <row r="2" spans="1:26" ht="14.4" x14ac:dyDescent="0.55000000000000004">
      <c r="A2" s="68" t="s">
        <v>29</v>
      </c>
      <c r="B2" s="69"/>
      <c r="C2" s="6"/>
      <c r="D2" s="70" t="s">
        <v>34</v>
      </c>
      <c r="E2" s="70"/>
      <c r="F2" s="70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6" ht="14.4" x14ac:dyDescent="0.55000000000000004">
      <c r="A3" s="71" t="str">
        <f>"First Class:  " &amp; COUNTIF(SummaryTable[CLASS],"=1st")</f>
        <v>First Class:  0</v>
      </c>
      <c r="B3" s="72"/>
      <c r="C3" s="7" t="str">
        <f>"2nd Class Upper:  " &amp; COUNTIF(SummaryTable[CLASS],"=2.1")</f>
        <v>2nd Class Upper:  0</v>
      </c>
      <c r="D3" s="73" t="s">
        <v>30</v>
      </c>
      <c r="E3" s="73"/>
      <c r="F3" s="73"/>
      <c r="G3" s="60">
        <f>COUNTIF(SummaryTable[CLASS],"=2.2")</f>
        <v>0</v>
      </c>
      <c r="H3" s="7"/>
      <c r="I3" s="5"/>
      <c r="J3" s="73" t="s">
        <v>31</v>
      </c>
      <c r="K3" s="73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6" x14ac:dyDescent="0.45">
      <c r="D5" s="64" t="s">
        <v>20</v>
      </c>
      <c r="E5" s="64"/>
      <c r="F5" s="64" t="s">
        <v>21</v>
      </c>
      <c r="G5" s="64"/>
      <c r="H5" s="64" t="s">
        <v>22</v>
      </c>
      <c r="I5" s="64"/>
      <c r="J5" s="64" t="s">
        <v>23</v>
      </c>
      <c r="K5" s="64"/>
      <c r="L5" s="64" t="s">
        <v>24</v>
      </c>
      <c r="M5" s="64"/>
      <c r="N5" s="64" t="s">
        <v>25</v>
      </c>
      <c r="O5" s="64"/>
      <c r="P5" s="64" t="s">
        <v>26</v>
      </c>
      <c r="Q5" s="64"/>
      <c r="R5" s="65" t="s">
        <v>27</v>
      </c>
      <c r="S5" s="66"/>
      <c r="T5" s="67"/>
      <c r="U5" s="65" t="s">
        <v>28</v>
      </c>
      <c r="V5" s="66"/>
      <c r="W5" s="67"/>
    </row>
    <row r="6" spans="1:26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t="s">
        <v>67</v>
      </c>
      <c r="Z6" s="1" t="s">
        <v>66</v>
      </c>
    </row>
    <row r="7" spans="1:26" x14ac:dyDescent="0.45">
      <c r="A7" s="57">
        <f>IF(SummaryTable[[#This Row],[TCU]]="", "",COUNT(SummaryTable[[#Headers],[TCU]]:SummaryTable[[#This Row],[TCU]]))</f>
        <v>1</v>
      </c>
      <c r="B7" s="63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  <c r="Y7" s="57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8" stopIfTrue="1" operator="equal">
      <formula>""</formula>
    </cfRule>
  </conditionalFormatting>
  <conditionalFormatting sqref="V1:V1048576">
    <cfRule type="cellIs" dxfId="13" priority="10" operator="lessThan">
      <formula>1</formula>
    </cfRule>
  </conditionalFormatting>
  <conditionalFormatting sqref="U1:U1048576">
    <cfRule type="cellIs" dxfId="12" priority="9" operator="equal">
      <formula>"YES"</formula>
    </cfRule>
  </conditionalFormatting>
  <conditionalFormatting sqref="W1:W1048576">
    <cfRule type="cellIs" dxfId="11" priority="3" operator="equal">
      <formula>"Pass"</formula>
    </cfRule>
    <cfRule type="cellIs" dxfId="10" priority="4" operator="equal">
      <formula>"3rd"</formula>
    </cfRule>
    <cfRule type="cellIs" dxfId="9" priority="5" operator="equal">
      <formula>"2.2"</formula>
    </cfRule>
    <cfRule type="cellIs" dxfId="8" priority="6" operator="equal">
      <formula>"2.1"</formula>
    </cfRule>
    <cfRule type="cellIs" dxfId="7" priority="7" operator="equal">
      <formula>"1st"</formula>
    </cfRule>
  </conditionalFormatting>
  <conditionalFormatting sqref="S1:S1048576">
    <cfRule type="cellIs" dxfId="6" priority="11" operator="between">
      <formula>-0.5</formula>
      <formula>$G$2 - 0.5</formula>
    </cfRule>
  </conditionalFormatting>
  <conditionalFormatting sqref="T1:T1048576">
    <cfRule type="cellIs" dxfId="5" priority="12" operator="between">
      <formula>1</formula>
      <formula>$G$2 + 0.5</formula>
    </cfRule>
  </conditionalFormatting>
  <conditionalFormatting sqref="X1:Y5 X7:Y1048576 X6">
    <cfRule type="cellIs" dxfId="4" priority="2" operator="equal">
      <formula>"YES"</formula>
    </cfRule>
  </conditionalFormatting>
  <conditionalFormatting sqref="Y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8" sqref="A68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8" t="s">
        <v>50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</row>
    <row r="2" spans="1:23" x14ac:dyDescent="0.45">
      <c r="A2" s="78" t="s">
        <v>56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</row>
    <row r="3" spans="1:23" x14ac:dyDescent="0.45">
      <c r="A3" s="78" t="s">
        <v>55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</row>
    <row r="4" spans="1:23" x14ac:dyDescent="0.45">
      <c r="A4" s="78" t="s">
        <v>57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</row>
    <row r="5" spans="1:23" x14ac:dyDescent="0.45">
      <c r="A5" s="10"/>
      <c r="B5" s="79" t="s">
        <v>58</v>
      </c>
      <c r="C5" s="79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80" t="s">
        <v>54</v>
      </c>
      <c r="R5" s="80"/>
      <c r="S5" s="80"/>
      <c r="T5" s="80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4" t="s">
        <v>30</v>
      </c>
      <c r="E8" s="74"/>
      <c r="F8" s="74"/>
      <c r="G8" s="74"/>
      <c r="H8" s="24">
        <f>COUNTIF(U:U,"=22")</f>
        <v>0</v>
      </c>
      <c r="I8" s="16"/>
      <c r="J8" s="74" t="s">
        <v>31</v>
      </c>
      <c r="K8" s="74"/>
      <c r="L8" s="74"/>
      <c r="M8" s="24">
        <f>COUNTIF(U:U,"=3rd")</f>
        <v>0</v>
      </c>
      <c r="N8" s="16"/>
      <c r="O8" s="74" t="s">
        <v>32</v>
      </c>
      <c r="P8" s="74"/>
      <c r="Q8" s="24">
        <f>COUNTIF(U:U,"=Pass")</f>
        <v>0</v>
      </c>
      <c r="R8" s="16"/>
      <c r="S8" s="74" t="str">
        <f>"Total: " &amp; COUNT(R:R)</f>
        <v>Total: 0</v>
      </c>
      <c r="T8" s="75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6" t="s">
        <v>20</v>
      </c>
      <c r="E10" s="77"/>
      <c r="F10" s="76" t="s">
        <v>21</v>
      </c>
      <c r="G10" s="77"/>
      <c r="H10" s="76" t="s">
        <v>22</v>
      </c>
      <c r="I10" s="77"/>
      <c r="J10" s="76" t="s">
        <v>23</v>
      </c>
      <c r="K10" s="77"/>
      <c r="L10" s="76" t="s">
        <v>24</v>
      </c>
      <c r="M10" s="77"/>
      <c r="N10" s="76" t="s">
        <v>25</v>
      </c>
      <c r="O10" s="77"/>
      <c r="P10" s="76" t="s">
        <v>26</v>
      </c>
      <c r="Q10" s="77"/>
      <c r="R10" s="76" t="s">
        <v>27</v>
      </c>
      <c r="S10" s="77"/>
      <c r="T10" s="76" t="s">
        <v>28</v>
      </c>
      <c r="U10" s="77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2022-02-17T18:47:23Z</dcterms:modified>
</cp:coreProperties>
</file>