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92E0A661-C5AC-451F-8B78-B12C13993A55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4" r:id="rId1"/>
    <sheet name="Degree Result" sheetId="3" r:id="rId2"/>
  </sheets>
  <externalReferences>
    <externalReference r:id="rId3"/>
  </externalReferences>
  <definedNames>
    <definedName name="_xlnm.Print_Titles" localSheetId="1">'Degree Result'!$1:$1</definedName>
    <definedName name="TCU_ROW" localSheetId="0">'Overall Summary'!$S$1</definedName>
    <definedName name="TQP_ROW" localSheetId="0">'[1]Degree Result'!$R$9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4" l="1"/>
  <c r="A8" i="4" s="1"/>
  <c r="R8" i="4"/>
  <c r="U8" i="4" s="1"/>
  <c r="G3" i="4"/>
  <c r="A12" i="3"/>
  <c r="R12" i="3"/>
  <c r="S12" i="3"/>
  <c r="Q8" i="3"/>
  <c r="M8" i="3"/>
  <c r="H8" i="3"/>
  <c r="C8" i="3"/>
  <c r="B8" i="3"/>
  <c r="V8" i="4" l="1"/>
  <c r="V4" i="4"/>
  <c r="T12" i="3"/>
  <c r="S8" i="3"/>
  <c r="G4" i="4" l="1"/>
  <c r="C4" i="4"/>
  <c r="A4" i="4"/>
  <c r="P4" i="4"/>
  <c r="L4" i="4"/>
</calcChain>
</file>

<file path=xl/sharedStrings.xml><?xml version="1.0" encoding="utf-8"?>
<sst xmlns="http://schemas.openxmlformats.org/spreadsheetml/2006/main" count="89" uniqueCount="64">
  <si>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</si>
  <si>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</si>
  <si>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</si>
  <si>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</si>
  <si>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</si>
  <si>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</si>
  <si>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</si>
  <si>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</si>
  <si>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</si>
  <si>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</si>
  <si>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</si>
  <si>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</si>
  <si>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</si>
  <si>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</si>
  <si>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</si>
  <si>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</si>
  <si>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</si>
  <si>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</si>
  <si>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</si>
  <si>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</si>
  <si>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</si>
  <si>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</si>
  <si>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</si>
  <si>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</si>
  <si>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</si>
  <si>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</si>
  <si>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</si>
  <si>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</si>
  <si>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</si>
  <si>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</si>
  <si>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</si>
  <si>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</si>
  <si>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</si>
  <si>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</si>
  <si>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</si>
  <si>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</si>
  <si>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</si>
  <si>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</si>
  <si>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</si>
  <si>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</si>
  <si>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</si>
  <si>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</si>
  <si>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</si>
  <si>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</si>
  <si>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</si>
  <si>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</si>
  <si>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</si>
  <si>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</si>
  <si>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</si>
  <si>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</si>
  <si>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</si>
  <si>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</si>
  <si>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</si>
  <si>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</si>
  <si>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</si>
  <si>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</si>
  <si>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</si>
  <si>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</si>
  <si>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</si>
  <si>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</si>
  <si>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</si>
  <si>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</si>
  <si>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</si>
  <si>
    <t>TCU (Fail)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</si>
</sst>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3" fillId="0" borderId="0">
      <alignment horizontal="center"/>
    </xf>
    <xf numFmtId="0" fontId="3" fillId="0" borderId="0">
      <alignment horizontal="center"/>
    </xf>
    <xf numFmtId="0" fontId="9" fillId="0" borderId="0"/>
    <xf numFmtId="49" fontId="3" fillId="0" borderId="0">
      <alignment horizontal="center"/>
    </xf>
  </cellStyleXfs>
  <cellXfs count="8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9" fillId="0" borderId="0" xfId="3"/>
    <xf numFmtId="0" fontId="6" fillId="0" borderId="0" xfId="3" applyFont="1" applyAlignment="1">
      <alignment horizontal="left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0" xfId="0" applyFont="1"/>
    <xf numFmtId="0" fontId="4" fillId="0" borderId="2" xfId="0" applyFont="1" applyBorder="1"/>
    <xf numFmtId="0" fontId="3" fillId="0" borderId="0" xfId="2" applyFont="1" applyFill="1">
      <alignment horizontal="center"/>
    </xf>
    <xf numFmtId="0" fontId="4" fillId="0" borderId="3" xfId="0" applyFont="1" applyBorder="1"/>
    <xf numFmtId="0" fontId="4" fillId="0" borderId="3" xfId="0" applyFont="1" applyBorder="1" applyAlignment="1"/>
    <xf numFmtId="0" fontId="4" fillId="0" borderId="3" xfId="0" applyFont="1" applyBorder="1" applyAlignment="1">
      <alignment horizontal="left"/>
    </xf>
    <xf numFmtId="0" fontId="4" fillId="0" borderId="6" xfId="0" applyFont="1" applyBorder="1"/>
    <xf numFmtId="0" fontId="4" fillId="0" borderId="6" xfId="0" applyFont="1" applyBorder="1" applyAlignment="1">
      <alignment horizontal="left"/>
    </xf>
    <xf numFmtId="0" fontId="6" fillId="0" borderId="0" xfId="3" applyFont="1" applyAlignment="1"/>
    <xf numFmtId="0" fontId="7" fillId="0" borderId="0" xfId="3" applyFont="1" applyAlignment="1">
      <alignment horizontal="left" wrapText="1"/>
    </xf>
    <xf numFmtId="0" fontId="7" fillId="0" borderId="0" xfId="3" applyFont="1" applyAlignment="1">
      <alignment horizontal="left"/>
    </xf>
    <xf numFmtId="0" fontId="3" fillId="0" borderId="0" xfId="0" applyFont="1" applyBorder="1"/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5" xfId="0" applyFont="1" applyBorder="1"/>
    <xf numFmtId="0" fontId="6" fillId="0" borderId="3" xfId="3" applyFont="1" applyBorder="1"/>
    <xf numFmtId="0" fontId="9" fillId="0" borderId="3" xfId="3" applyBorder="1"/>
    <xf numFmtId="0" fontId="6" fillId="0" borderId="0" xfId="3" applyFont="1" applyBorder="1"/>
    <xf numFmtId="0" fontId="6" fillId="0" borderId="0" xfId="3" applyFont="1" applyBorder="1" applyAlignment="1"/>
    <xf numFmtId="0" fontId="9" fillId="0" borderId="0" xfId="3" applyBorder="1"/>
    <xf numFmtId="0" fontId="9" fillId="0" borderId="0" xfId="3" applyBorder="1" applyAlignment="1">
      <alignment vertical="center"/>
    </xf>
    <xf numFmtId="0" fontId="8" fillId="0" borderId="0" xfId="2" applyFont="1" applyFill="1">
      <alignment horizontal="center"/>
    </xf>
    <xf numFmtId="0" fontId="8" fillId="0" borderId="0" xfId="0" applyFont="1"/>
    <xf numFmtId="2" fontId="8" fillId="0" borderId="0" xfId="1" applyFont="1" applyFill="1" applyAlignment="1">
      <alignment horizontal="center"/>
    </xf>
    <xf numFmtId="49" fontId="8" fillId="0" borderId="0" xfId="2" quotePrefix="1" applyNumberFormat="1" applyFont="1" applyFill="1">
      <alignment horizontal="center"/>
    </xf>
    <xf numFmtId="0" fontId="3" fillId="0" borderId="0" xfId="2" applyNumberFormat="1" applyFont="1" applyFill="1">
      <alignment horizontal="center"/>
    </xf>
    <xf numFmtId="2" fontId="3" fillId="0" borderId="0" xfId="1" applyNumberFormat="1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3" fillId="0" borderId="10" xfId="0" applyFont="1" applyBorder="1"/>
    <xf numFmtId="0" fontId="4" fillId="0" borderId="1" xfId="0" applyFont="1" applyBorder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6" fillId="0" borderId="3" xfId="3" applyFont="1" applyBorder="1" applyAlignment="1"/>
    <xf numFmtId="0" fontId="9" fillId="0" borderId="0" xfId="3" applyBorder="1" applyAlignment="1"/>
    <xf numFmtId="0" fontId="9" fillId="0" borderId="0" xfId="3" applyFill="1"/>
    <xf numFmtId="0" fontId="10" fillId="0" borderId="0" xfId="3" applyFont="1" applyFill="1"/>
    <xf numFmtId="0" fontId="5" fillId="0" borderId="0" xfId="3" applyFont="1" applyBorder="1" applyAlignment="1"/>
    <xf numFmtId="0" fontId="5" fillId="0" borderId="0" xfId="3" applyFont="1" applyBorder="1"/>
    <xf numFmtId="0" fontId="9" fillId="0" borderId="0" xfId="3" applyFont="1" applyBorder="1"/>
    <xf numFmtId="0" fontId="1" fillId="0" borderId="6" xfId="0" applyFont="1" applyBorder="1" applyAlignment="1">
      <alignment horizontal="right"/>
    </xf>
    <xf numFmtId="0" fontId="1" fillId="0" borderId="3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49" fontId="3" fillId="0" borderId="0" xfId="4">
      <alignment horizontal="center"/>
    </xf>
    <xf numFmtId="0" fontId="3" fillId="0" borderId="0" xfId="2">
      <alignment horizontal="center"/>
    </xf>
    <xf numFmtId="2" fontId="3" fillId="0" borderId="0" xfId="1">
      <alignment horizontal="center"/>
    </xf>
    <xf numFmtId="0" fontId="3" fillId="0" borderId="1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6" xfId="0" applyFont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4" fillId="0" borderId="6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 applyAlignment="1">
      <alignment horizontal="left"/>
    </xf>
    <xf numFmtId="0" fontId="6" fillId="0" borderId="0" xfId="3" applyFont="1" applyAlignment="1">
      <alignment horizontal="right"/>
    </xf>
    <xf numFmtId="0" fontId="0" fillId="0" borderId="0" xfId="0" applyAlignment="1">
      <alignment horizontal="lef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6"/>
      <tableStyleElement type="headerRow" dxfId="75"/>
      <tableStyleElement type="totalRow" dxfId="74"/>
      <tableStyleElement type="firstRowStripe" dxfId="73"/>
    </tableStyle>
    <tableStyle name="Table Style 1" pivot="0" count="2" xr9:uid="{F3B52532-6567-4D06-B143-F5517C4B2318}">
      <tableStyleElement type="wholeTable" dxfId="72"/>
      <tableStyleElement type="headerRow" dxfId="71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OODHOPE%20ORDU/Documents/excel_converter/output/summary_53386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Summary"/>
      <sheetName val="Degree Result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2BF2AA-2B11-4BBA-8254-8B64BD7E96AB}" name="SummaryTable3" displayName="SummaryTable3" ref="A7:V8">
  <autoFilter ref="A7:V8" xr:uid="{0767D862-8CCF-431A-9754-E5E349291777}"/>
  <sortState xmlns:xlrd2="http://schemas.microsoft.com/office/spreadsheetml/2017/richdata2" ref="A8:V8">
    <sortCondition descending="1" ref="U7:U8"/>
  </sortState>
  <tableColumns count="22">
    <tableColumn id="21" xr3:uid="{7E7D1EC1-6586-4FDE-BCE4-938D44DFABEE}" name="S/N" dataDxfId="62" totalsRowDxfId="61" dataCellStyle="Number Style">
      <calculatedColumnFormula>IF(SummaryTable3[[#This Row],[TCU]]="", "",COUNT(TCU_ROW:SummaryTable3[[#This Row],[TCU]]))</calculatedColumnFormula>
    </tableColumn>
    <tableColumn id="1" xr3:uid="{A840DFAF-E42F-44B7-B8CE-456D6A96CB2D}" name="Matric No." totalsRowLabel="Max"/>
    <tableColumn id="5" xr3:uid="{D19D9C4B-AA37-4B7B-B55C-7F600C52074E}" name="Name"/>
    <tableColumn id="8" xr3:uid="{4DC6BE1C-62C8-4D77-A490-8F9B6632BEE7}" name="QP1" totalsRowFunction="max" totalsRowDxfId="60" dataCellStyle="Number Style"/>
    <tableColumn id="9" xr3:uid="{3F07DF0F-2A50-4A56-B5B8-5AC45166EF5A}" name="CU1" totalsRowFunction="max" totalsRowDxfId="59" dataCellStyle="Number Style"/>
    <tableColumn id="7" xr3:uid="{EB81563E-B917-411A-AD69-68A8A8E1E5A4}" name="QP2" totalsRowFunction="max" totalsRowDxfId="58" dataCellStyle="Number Style"/>
    <tableColumn id="6" xr3:uid="{2C22A8AA-F9CF-4A5B-99DF-14926B2C0EB9}" name="CU2" totalsRowFunction="max" totalsRowDxfId="57" dataCellStyle="Number Style"/>
    <tableColumn id="10" xr3:uid="{AC09DC0C-933C-4B2A-94B4-C9EB98CFE754}" name="QP3" totalsRowFunction="max" totalsRowDxfId="56" dataCellStyle="Number Style"/>
    <tableColumn id="11" xr3:uid="{E36DA246-5248-4EE6-9CBC-D5D448BF77F6}" name="CU3" totalsRowFunction="max" totalsRowDxfId="55" dataCellStyle="Number Style"/>
    <tableColumn id="12" xr3:uid="{E1C49CD5-ECEA-43A9-A5A8-33ACBB717E32}" name="QP4" totalsRowFunction="max" totalsRowDxfId="54" dataCellStyle="Number Style"/>
    <tableColumn id="13" xr3:uid="{C4EEF70A-D3C4-4AEC-AC3F-124BCFD16D84}" name="CU4" totalsRowFunction="max" totalsRowDxfId="53" dataCellStyle="Number Style"/>
    <tableColumn id="14" xr3:uid="{676EB931-D55E-45C9-A42F-A386409B0068}" name="QP5" totalsRowFunction="max" totalsRowDxfId="52" dataCellStyle="Number Style"/>
    <tableColumn id="15" xr3:uid="{2AAB5D97-8C91-4F4D-B248-71CAF8730C2D}" name="CU5" totalsRowFunction="max" totalsRowDxfId="51" dataCellStyle="Number Style"/>
    <tableColumn id="18" xr3:uid="{4DE4506B-2D50-4DE4-AB45-64C9E54A63A9}" name="QP6" totalsRowFunction="max" totalsRowDxfId="50" dataCellStyle="Number Style"/>
    <tableColumn id="19" xr3:uid="{9A5C19DB-6C0F-4E9D-9C56-2A9B5E5665ED}" name="CU6" totalsRowFunction="max" totalsRowDxfId="49" dataCellStyle="Number Style"/>
    <tableColumn id="16" xr3:uid="{E1B6D112-47D6-417B-8A8A-BF1D8C76BB98}" name="QP7" totalsRowFunction="max" totalsRowDxfId="48" dataCellStyle="Number Style"/>
    <tableColumn id="17" xr3:uid="{0192FCAF-E1F3-4788-9986-07F9DB5D04DC}" name="CU7" totalsRowFunction="max" totalsRowDxfId="47" dataCellStyle="Number Style"/>
    <tableColumn id="3" xr3:uid="{40DEA5DF-AB53-4022-AD3F-A5A74143B17D}" name="TQP" totalsRowFunction="max" totalsRowDxfId="46" dataCellStyle="Number Style">
      <calculatedColumnFormula>SummaryTable3[[#This Row],[QP1]]+SummaryTable3[[#This Row],[QP2]]+SummaryTable3[[#This Row],[QP3]]+SummaryTable3[[#This Row],[QP4]]+SummaryTable3[[#This Row],[QP5]]+SummaryTable3[[#This Row],[QP6]]+SummaryTable3[[#This Row],[QP7]]</calculatedColumnFormula>
    </tableColumn>
    <tableColumn id="2" xr3:uid="{097F79D0-6AC0-4421-BAC8-99D29DCCECF8}" name="TCU" totalsRowFunction="max" totalsRowDxfId="45" dataCellStyle="Number Style">
      <calculatedColumnFormula>SummaryTable3[[#This Row],[CU1]]+SummaryTable3[[#This Row],[CU2]]+SummaryTable3[[#This Row],[CU3]]+SummaryTable3[[#This Row],[CU4]]+SummaryTable3[[#This Row],[CU5]]+SummaryTable3[[#This Row],[CU6]]+SummaryTable3[[#This Row],[CU7]]</calculatedColumnFormula>
    </tableColumn>
    <tableColumn id="23" xr3:uid="{3F8488AB-3BF2-4681-8459-3678494E86FB}" name="TCU (Fail)" dataDxfId="44" totalsRowDxfId="43" dataCellStyle="Number Style"/>
    <tableColumn id="4" xr3:uid="{25A2AE5B-46E0-4FAD-8ECE-0998340CFB8E}" name="CGPA" totalsRowFunction="max" dataDxfId="42" totalsRowDxfId="41" dataCellStyle="GPAStyle">
      <calculatedColumnFormula>IFERROR(SummaryTable3[[#This Row],[TQP]]/SummaryTable3[[#This Row],[TCU]],0)</calculatedColumnFormula>
    </tableColumn>
    <tableColumn id="20" xr3:uid="{1AFD767A-1387-46D1-8125-3DDD4F5F2700}" name="CLASS" dataDxfId="40" dataCellStyle="Number Style">
      <calculatedColumnFormula>IF(SummaryTable3[[#This Row],[CGPA]]&gt;4.49,"1st",IF(SummaryTable3[[#This Row],[CGPA]]&gt;3.49,"2.1",IF(SummaryTable3[[#This Row],[CGPA]]&gt;2.39,"2.2",IF(SummaryTable3[[#This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39" dataDxfId="37" totalsRowDxfId="36" headerRowBorderDxfId="38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5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4" dataCellStyle="Normal 2"/>
    <tableColumn id="8" xr3:uid="{0D0E4684-0995-4DEF-ACB6-8648D3F82EDC}" name="QP" totalsRowFunction="max" dataDxfId="33" totalsRowDxfId="32" dataCellStyle="Number Style"/>
    <tableColumn id="9" xr3:uid="{8D1B1E20-EA63-415B-8CD9-04893B2D72FB}" name="CU" totalsRowFunction="max" dataDxfId="31" totalsRowDxfId="30" dataCellStyle="Number Style"/>
    <tableColumn id="7" xr3:uid="{E3223D13-ED4C-405E-9713-2FD05E3F31D0}" name=" QP " totalsRowFunction="max" dataDxfId="29" totalsRowDxfId="28" dataCellStyle="Number Style"/>
    <tableColumn id="6" xr3:uid="{3489DBCF-1B38-4FB5-B01C-66C417D4DE5A}" name=" CU " totalsRowFunction="max" dataDxfId="27" totalsRowDxfId="26" dataCellStyle="Number Style"/>
    <tableColumn id="10" xr3:uid="{B8B42F79-6152-4F56-BB62-1154A33091D5}" name="  QP  " totalsRowFunction="max" dataDxfId="25" totalsRowDxfId="24" dataCellStyle="Number Style"/>
    <tableColumn id="11" xr3:uid="{4B806845-BC5A-4E1E-8502-B0155B49077C}" name="  CU  " totalsRowFunction="max" dataDxfId="23" totalsRowDxfId="22" dataCellStyle="Number Style"/>
    <tableColumn id="12" xr3:uid="{EBD1AECA-A627-42A8-8801-0EE0DBD4A275}" name="   QP   " totalsRowFunction="max" dataDxfId="21" totalsRowDxfId="20" dataCellStyle="Number Style"/>
    <tableColumn id="13" xr3:uid="{7552F0D6-A0C9-41F6-961C-900BE21C171F}" name="   CU   " totalsRowFunction="max" dataDxfId="19" totalsRowDxfId="18" dataCellStyle="Number Style"/>
    <tableColumn id="14" xr3:uid="{B1F76EFF-4E66-4F4E-A70C-AECB4C931F9D}" name="    QP    " totalsRowFunction="max" dataDxfId="17" totalsRowDxfId="16" dataCellStyle="Number Style"/>
    <tableColumn id="15" xr3:uid="{A58F761E-2DCA-4EB4-AB1E-C6FF0998BD38}" name="    CU    " totalsRowFunction="max" dataDxfId="15" totalsRowDxfId="14" dataCellStyle="Number Style"/>
    <tableColumn id="18" xr3:uid="{443690B0-2C5B-4FEA-8533-EF488546160D}" name="     QP     " totalsRowFunction="max" dataDxfId="13" totalsRowDxfId="12" dataCellStyle="Number Style"/>
    <tableColumn id="19" xr3:uid="{061629B8-8E35-4631-B805-A1F0F37371A9}" name="     CU     " totalsRowFunction="max" dataDxfId="11" totalsRowDxfId="10" dataCellStyle="Number Style"/>
    <tableColumn id="16" xr3:uid="{7C39ACA2-28D6-47B9-B2C6-3D38BE551BBB}" name="      QP      " totalsRowFunction="max" dataDxfId="9" totalsRowDxfId="8" dataCellStyle="Number Style"/>
    <tableColumn id="17" xr3:uid="{1F80A33A-A2B2-42AD-84ED-14FE907E5F50}" name="      CU      " totalsRowFunction="max" dataDxfId="7" totalsRowDxfId="6" dataCellStyle="Number Style"/>
    <tableColumn id="3" xr3:uid="{263F0515-932A-4948-9DF1-4A8A2B8F549C}" name="TQP" totalsRowFunction="max" dataDxfId="5" totalsRowDxfId="4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3" totalsRowDxfId="2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1" totalsRowDxfId="0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CellStyle="Class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B6DD3-8DEA-4E00-928E-ABDD52D40D9A}">
  <sheetPr codeName="Sheet2">
    <pageSetUpPr fitToPage="1"/>
  </sheetPr>
  <dimension ref="A3:X8"/>
  <sheetViews>
    <sheetView tabSelected="1" zoomScale="90" zoomScaleNormal="90" workbookViewId="0">
      <selection activeCell="A84" sqref="A84"/>
    </sheetView>
  </sheetViews>
  <sheetFormatPr defaultRowHeight="14.25" x14ac:dyDescent="0.65"/>
  <cols>
    <col min="1" max="1" width="3.875" customWidth="1"/>
    <col min="2" max="2" width="14.95703125" customWidth="1"/>
    <col min="3" max="3" width="33.33203125" customWidth="1"/>
    <col min="4" max="17" width="4.9140625" customWidth="1"/>
    <col min="18" max="18" width="7.625" customWidth="1"/>
    <col min="19" max="19" width="9.20703125" customWidth="1"/>
    <col min="20" max="20" width="11.70703125" customWidth="1"/>
    <col min="21" max="22" width="7.625" customWidth="1"/>
  </cols>
  <sheetData>
    <row r="3" spans="1:24" ht="14.75" x14ac:dyDescent="0.75">
      <c r="A3" s="63" t="s">
        <v>29</v>
      </c>
      <c r="B3" s="64"/>
      <c r="C3" s="6"/>
      <c r="D3" s="65" t="s">
        <v>34</v>
      </c>
      <c r="E3" s="65"/>
      <c r="F3" s="65"/>
      <c r="G3" s="57">
        <f>MAX(SummaryTable3[TCU])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3"/>
      <c r="V3" s="4"/>
    </row>
    <row r="4" spans="1:24" ht="14.75" x14ac:dyDescent="0.75">
      <c r="A4" s="66" t="str">
        <f>_xlfn.CONCAT("First Class:  ", COUNTIF(SummaryTable3[CLASS],"=1st"))</f>
        <v>First Class:  0</v>
      </c>
      <c r="B4" s="67"/>
      <c r="C4" s="7" t="str">
        <f>_xlfn.CONCAT("2nd Class Upper:  ", COUNTIF(SummaryTable3[CLASS],"=2.1"))</f>
        <v>2nd Class Upper:  0</v>
      </c>
      <c r="D4" s="68" t="s">
        <v>30</v>
      </c>
      <c r="E4" s="68"/>
      <c r="F4" s="68"/>
      <c r="G4" s="58">
        <f>COUNTIF(SummaryTable3[CLASS],"=2.2")</f>
        <v>0</v>
      </c>
      <c r="H4" s="7"/>
      <c r="I4" s="5"/>
      <c r="J4" s="68" t="s">
        <v>31</v>
      </c>
      <c r="K4" s="68"/>
      <c r="L4" s="58">
        <f>COUNTIF(SummaryTable3[CLASS],"=3rd")</f>
        <v>0</v>
      </c>
      <c r="M4" s="5"/>
      <c r="N4" s="5"/>
      <c r="O4" s="56" t="s">
        <v>32</v>
      </c>
      <c r="P4" s="58">
        <f>COUNTIF(SummaryTable3[CLASS],"=Pass")</f>
        <v>1</v>
      </c>
      <c r="Q4" s="5"/>
      <c r="R4" s="5"/>
      <c r="S4" s="5"/>
      <c r="T4" s="5"/>
      <c r="U4" s="56" t="s">
        <v>33</v>
      </c>
      <c r="V4" s="8">
        <f>COUNT(SummaryTable3[CGPA])</f>
        <v>1</v>
      </c>
    </row>
    <row r="6" spans="1:24" x14ac:dyDescent="0.65">
      <c r="D6" s="62" t="s">
        <v>20</v>
      </c>
      <c r="E6" s="62"/>
      <c r="F6" s="62" t="s">
        <v>21</v>
      </c>
      <c r="G6" s="62"/>
      <c r="H6" s="62" t="s">
        <v>22</v>
      </c>
      <c r="I6" s="62"/>
      <c r="J6" s="62" t="s">
        <v>23</v>
      </c>
      <c r="K6" s="62"/>
      <c r="L6" s="62" t="s">
        <v>24</v>
      </c>
      <c r="M6" s="62"/>
      <c r="N6" s="62" t="s">
        <v>25</v>
      </c>
      <c r="O6" s="62"/>
      <c r="P6" s="62" t="s">
        <v>26</v>
      </c>
      <c r="Q6" s="62"/>
      <c r="R6" s="69" t="s">
        <v>27</v>
      </c>
      <c r="S6" s="70"/>
      <c r="T6" s="71"/>
      <c r="U6" s="62" t="s">
        <v>28</v>
      </c>
      <c r="V6" s="62"/>
    </row>
    <row r="7" spans="1:24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79" t="s">
        <v>63</v>
      </c>
      <c r="U7" s="2" t="s">
        <v>3</v>
      </c>
      <c r="V7" s="2" t="s">
        <v>19</v>
      </c>
      <c r="X7" s="1"/>
    </row>
    <row r="8" spans="1:24" x14ac:dyDescent="0.65">
      <c r="A8" s="60">
        <f>IF(SummaryTable3[[#This Row],[TCU]]="", "",COUNT(TCU_ROW:SummaryTable3[[#This Row],[TCU]]))</f>
        <v>1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>
        <f>SummaryTable3[[#This Row],[QP1]]+SummaryTable3[[#This Row],[QP2]]+SummaryTable3[[#This Row],[QP3]]+SummaryTable3[[#This Row],[QP4]]+SummaryTable3[[#This Row],[QP5]]+SummaryTable3[[#This Row],[QP6]]+SummaryTable3[[#This Row],[QP7]]</f>
        <v>0</v>
      </c>
      <c r="S8" s="60">
        <f>SummaryTable3[[#This Row],[CU1]]+SummaryTable3[[#This Row],[CU2]]+SummaryTable3[[#This Row],[CU3]]+SummaryTable3[[#This Row],[CU4]]+SummaryTable3[[#This Row],[CU5]]+SummaryTable3[[#This Row],[CU6]]+SummaryTable3[[#This Row],[CU7]]</f>
        <v>0</v>
      </c>
      <c r="T8" s="60"/>
      <c r="U8" s="61">
        <f>IFERROR(SummaryTable3[[#This Row],[TQP]]/SummaryTable3[[#This Row],[TCU]],0)</f>
        <v>0</v>
      </c>
      <c r="V8" s="60" t="str">
        <f>IF(SummaryTable3[[#This Row],[CGPA]]&gt;4.49,"1st",IF(SummaryTable3[[#This Row],[CGPA]]&gt;3.49,"2.1",IF(SummaryTable3[[#This Row],[CGPA]]&gt;2.39,"2.2",IF(SummaryTable3[[#This Row],[CGPA]]&gt;1.49,"3rd","Pass"))))</f>
        <v>Pass</v>
      </c>
      <c r="X8" s="1"/>
    </row>
  </sheetData>
  <mergeCells count="14">
    <mergeCell ref="L6:M6"/>
    <mergeCell ref="N6:O6"/>
    <mergeCell ref="P6:Q6"/>
    <mergeCell ref="R6:T6"/>
    <mergeCell ref="U6:V6"/>
    <mergeCell ref="D6:E6"/>
    <mergeCell ref="F6:G6"/>
    <mergeCell ref="H6:I6"/>
    <mergeCell ref="J6:K6"/>
    <mergeCell ref="A3:B3"/>
    <mergeCell ref="D3:F3"/>
    <mergeCell ref="A4:B4"/>
    <mergeCell ref="D4:F4"/>
    <mergeCell ref="J4:K4"/>
  </mergeCells>
  <conditionalFormatting sqref="S1:S1048576">
    <cfRule type="cellIs" dxfId="70" priority="8" operator="between">
      <formula>-0.5</formula>
      <formula>$G$3 - 0.5</formula>
    </cfRule>
  </conditionalFormatting>
  <conditionalFormatting sqref="S1:V1048576">
    <cfRule type="cellIs" priority="6" stopIfTrue="1" operator="equal">
      <formula>""</formula>
    </cfRule>
  </conditionalFormatting>
  <conditionalFormatting sqref="U1:U1048576">
    <cfRule type="cellIs" dxfId="69" priority="7" operator="lessThan">
      <formula>1</formula>
    </cfRule>
  </conditionalFormatting>
  <conditionalFormatting sqref="V1:V1048576">
    <cfRule type="cellIs" dxfId="68" priority="1" operator="equal">
      <formula>"Pass"</formula>
    </cfRule>
    <cfRule type="cellIs" dxfId="67" priority="2" operator="equal">
      <formula>"3rd"</formula>
    </cfRule>
    <cfRule type="cellIs" dxfId="66" priority="3" operator="equal">
      <formula>"2.2"</formula>
    </cfRule>
    <cfRule type="cellIs" dxfId="65" priority="4" operator="equal">
      <formula>"2.1"</formula>
    </cfRule>
    <cfRule type="cellIs" dxfId="64" priority="5" operator="equal">
      <formula>"1st"</formula>
    </cfRule>
  </conditionalFormatting>
  <conditionalFormatting sqref="T1:T1048576">
    <cfRule type="cellIs" dxfId="63" priority="9" operator="between">
      <formula>1</formula>
      <formula>$G$3 + 0.5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A101" sqref="A101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76" t="s">
        <v>50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</row>
    <row r="2" spans="1:23" x14ac:dyDescent="0.65">
      <c r="A2" s="76" t="s">
        <v>56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</row>
    <row r="3" spans="1:23" x14ac:dyDescent="0.65">
      <c r="A3" s="76" t="s">
        <v>55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</row>
    <row r="4" spans="1:23" x14ac:dyDescent="0.65">
      <c r="A4" s="76" t="s">
        <v>57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</row>
    <row r="5" spans="1:23" x14ac:dyDescent="0.65">
      <c r="A5" s="10"/>
      <c r="B5" s="77" t="s">
        <v>58</v>
      </c>
      <c r="C5" s="77"/>
      <c r="D5" s="10"/>
      <c r="E5" s="10"/>
      <c r="F5" s="12"/>
      <c r="G5" s="12"/>
      <c r="H5" s="12"/>
      <c r="I5" s="12"/>
      <c r="J5" s="12"/>
      <c r="K5" s="12"/>
      <c r="L5" s="12"/>
      <c r="N5" s="25"/>
      <c r="O5" s="25"/>
      <c r="P5" s="25"/>
      <c r="Q5" s="78" t="s">
        <v>54</v>
      </c>
      <c r="R5" s="78"/>
      <c r="S5" s="78"/>
      <c r="T5" s="78"/>
      <c r="U5" s="10"/>
    </row>
    <row r="6" spans="1:23" x14ac:dyDescent="0.65">
      <c r="A6" s="10"/>
      <c r="B6" s="11"/>
      <c r="C6" s="11"/>
      <c r="D6" s="10"/>
      <c r="E6" s="10"/>
      <c r="F6" s="12"/>
      <c r="G6" s="12"/>
      <c r="H6" s="12"/>
      <c r="I6" s="12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0"/>
    </row>
    <row r="7" spans="1:23" x14ac:dyDescent="0.65">
      <c r="A7" s="28"/>
      <c r="B7" s="18" t="s">
        <v>29</v>
      </c>
      <c r="C7" s="20"/>
      <c r="D7" s="21"/>
      <c r="E7" s="21"/>
      <c r="F7" s="21"/>
      <c r="G7" s="21"/>
      <c r="H7" s="22"/>
      <c r="I7" s="20"/>
      <c r="J7" s="20"/>
      <c r="K7" s="20"/>
      <c r="L7" s="20"/>
      <c r="M7" s="20"/>
      <c r="N7" s="20"/>
      <c r="O7" s="20"/>
      <c r="P7" s="20"/>
      <c r="Q7" s="20"/>
      <c r="R7" s="14"/>
      <c r="S7" s="14"/>
      <c r="T7" s="15"/>
      <c r="U7" s="28"/>
    </row>
    <row r="8" spans="1:23" x14ac:dyDescent="0.65">
      <c r="A8" s="28"/>
      <c r="B8" s="31" t="str">
        <f>_xlfn.CONCAT("First Class:  ", COUNTIF(U:U,"=11"))</f>
        <v>First Class:  0</v>
      </c>
      <c r="C8" s="23" t="str">
        <f>_xlfn.CONCAT("2nd Class Upper:  ", COUNTIF(U:U,"=21"))</f>
        <v>2nd Class Upper:  0</v>
      </c>
      <c r="D8" s="72" t="s">
        <v>30</v>
      </c>
      <c r="E8" s="72"/>
      <c r="F8" s="72"/>
      <c r="G8" s="72"/>
      <c r="H8" s="24">
        <f>COUNTIF(U:U,"=22")</f>
        <v>0</v>
      </c>
      <c r="I8" s="16"/>
      <c r="J8" s="72" t="s">
        <v>31</v>
      </c>
      <c r="K8" s="72"/>
      <c r="L8" s="72"/>
      <c r="M8" s="24">
        <f>COUNTIF(U:U,"=3rd")</f>
        <v>0</v>
      </c>
      <c r="N8" s="16"/>
      <c r="O8" s="72" t="s">
        <v>32</v>
      </c>
      <c r="P8" s="72"/>
      <c r="Q8" s="24">
        <f>COUNTIF(U:U,"=Pass")</f>
        <v>0</v>
      </c>
      <c r="R8" s="16"/>
      <c r="S8" s="72" t="str">
        <f>_xlfn.CONCAT("Total: ", COUNT(R:R))</f>
        <v>Total: 0</v>
      </c>
      <c r="T8" s="73"/>
      <c r="U8" s="30"/>
    </row>
    <row r="9" spans="1:23" x14ac:dyDescent="0.6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</row>
    <row r="10" spans="1:23" x14ac:dyDescent="0.65">
      <c r="A10" s="44"/>
      <c r="B10" s="29"/>
      <c r="C10" s="29"/>
      <c r="D10" s="74" t="s">
        <v>20</v>
      </c>
      <c r="E10" s="75"/>
      <c r="F10" s="74" t="s">
        <v>21</v>
      </c>
      <c r="G10" s="75"/>
      <c r="H10" s="74" t="s">
        <v>22</v>
      </c>
      <c r="I10" s="75"/>
      <c r="J10" s="74" t="s">
        <v>23</v>
      </c>
      <c r="K10" s="75"/>
      <c r="L10" s="74" t="s">
        <v>24</v>
      </c>
      <c r="M10" s="75"/>
      <c r="N10" s="74" t="s">
        <v>25</v>
      </c>
      <c r="O10" s="75"/>
      <c r="P10" s="74" t="s">
        <v>26</v>
      </c>
      <c r="Q10" s="75"/>
      <c r="R10" s="74" t="s">
        <v>27</v>
      </c>
      <c r="S10" s="75"/>
      <c r="T10" s="74" t="s">
        <v>28</v>
      </c>
      <c r="U10" s="75"/>
    </row>
    <row r="11" spans="1:23" x14ac:dyDescent="0.65">
      <c r="A11" s="9" t="s">
        <v>49</v>
      </c>
      <c r="B11" s="45" t="s">
        <v>0</v>
      </c>
      <c r="C11" s="46" t="s">
        <v>4</v>
      </c>
      <c r="D11" s="47" t="s">
        <v>35</v>
      </c>
      <c r="E11" s="47" t="s">
        <v>42</v>
      </c>
      <c r="F11" s="47" t="s">
        <v>36</v>
      </c>
      <c r="G11" s="47" t="s">
        <v>43</v>
      </c>
      <c r="H11" s="47" t="s">
        <v>37</v>
      </c>
      <c r="I11" s="47" t="s">
        <v>44</v>
      </c>
      <c r="J11" s="47" t="s">
        <v>38</v>
      </c>
      <c r="K11" s="47" t="s">
        <v>45</v>
      </c>
      <c r="L11" s="47" t="s">
        <v>39</v>
      </c>
      <c r="M11" s="47" t="s">
        <v>46</v>
      </c>
      <c r="N11" s="47" t="s">
        <v>40</v>
      </c>
      <c r="O11" s="47" t="s">
        <v>47</v>
      </c>
      <c r="P11" s="47" t="s">
        <v>41</v>
      </c>
      <c r="Q11" s="47" t="s">
        <v>48</v>
      </c>
      <c r="R11" s="47" t="s">
        <v>2</v>
      </c>
      <c r="S11" s="47" t="s">
        <v>1</v>
      </c>
      <c r="T11" s="47" t="s">
        <v>3</v>
      </c>
      <c r="U11" s="48" t="s">
        <v>19</v>
      </c>
      <c r="W11" s="1"/>
    </row>
    <row r="12" spans="1:23" x14ac:dyDescent="0.65">
      <c r="A12" s="42" t="str">
        <f>IF(DegreeTable[[#This Row],[Name]]="", "",COUNT(TQP_ROW:DegreeTable[[#This Row],[TQP]]))</f>
        <v/>
      </c>
      <c r="B12" s="51"/>
      <c r="C12" s="52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42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2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43" t="str">
        <f>IF(DegreeTable[[#This Row],[Name]]="", "",IFERROR(DegreeTable[[#This Row],[TQP]]/DegreeTable[[#This Row],[TCU]],0))</f>
        <v/>
      </c>
      <c r="U12" s="59"/>
      <c r="W12" s="1"/>
    </row>
    <row r="13" spans="1:23" x14ac:dyDescent="0.65">
      <c r="A13" s="38"/>
      <c r="B13" s="39"/>
      <c r="C13" s="39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40"/>
      <c r="U13" s="41"/>
    </row>
    <row r="14" spans="1:23" x14ac:dyDescent="0.65">
      <c r="A14" s="38"/>
      <c r="B14" s="39"/>
      <c r="C14" s="39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40"/>
      <c r="U14" s="41"/>
    </row>
    <row r="15" spans="1:23" x14ac:dyDescent="0.6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</row>
    <row r="16" spans="1:23" x14ac:dyDescent="0.65">
      <c r="A16" s="27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</row>
    <row r="17" spans="1:21" x14ac:dyDescent="0.65">
      <c r="A17" s="32" t="s">
        <v>51</v>
      </c>
      <c r="B17" s="32"/>
      <c r="C17" s="32"/>
      <c r="D17" s="32" t="s">
        <v>52</v>
      </c>
      <c r="E17" s="32"/>
      <c r="F17" s="32"/>
      <c r="G17" s="32"/>
      <c r="H17" s="32"/>
      <c r="I17" s="32"/>
      <c r="J17" s="32"/>
      <c r="K17" s="33"/>
      <c r="L17" s="33"/>
      <c r="M17" s="32"/>
      <c r="N17" s="33"/>
      <c r="O17" s="33"/>
      <c r="P17" s="49" t="s">
        <v>53</v>
      </c>
      <c r="Q17" s="49"/>
      <c r="R17" s="49"/>
      <c r="S17" s="49"/>
      <c r="T17" s="49"/>
      <c r="U17" s="49"/>
    </row>
    <row r="18" spans="1:21" x14ac:dyDescent="0.65">
      <c r="A18" s="54" t="s">
        <v>59</v>
      </c>
      <c r="B18" s="34"/>
      <c r="C18" s="34"/>
      <c r="D18" s="53" t="s">
        <v>59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53" t="s">
        <v>59</v>
      </c>
      <c r="Q18" s="50"/>
      <c r="R18" s="50"/>
      <c r="S18" s="50"/>
      <c r="T18" s="50"/>
      <c r="U18" s="50"/>
    </row>
    <row r="19" spans="1:21" x14ac:dyDescent="0.65">
      <c r="A19" s="55" t="s">
        <v>60</v>
      </c>
      <c r="B19" s="36"/>
      <c r="C19" s="36"/>
      <c r="D19" s="55" t="s">
        <v>62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55" t="s">
        <v>62</v>
      </c>
      <c r="Q19" s="37"/>
      <c r="R19" s="37"/>
      <c r="S19" s="37"/>
      <c r="T19" s="37"/>
      <c r="U19" s="37"/>
    </row>
    <row r="20" spans="1:21" x14ac:dyDescent="0.65">
      <c r="A20" s="55" t="s">
        <v>61</v>
      </c>
      <c r="B20" s="36"/>
      <c r="C20" s="36"/>
      <c r="D20" s="55" t="s">
        <v>61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55" t="s">
        <v>61</v>
      </c>
      <c r="Q20" s="36"/>
      <c r="R20" s="36"/>
      <c r="S20" s="36"/>
      <c r="T20" s="36"/>
      <c r="U20" s="36"/>
    </row>
  </sheetData>
  <mergeCells count="19">
    <mergeCell ref="A1:U1"/>
    <mergeCell ref="A2:U2"/>
    <mergeCell ref="A3:U3"/>
    <mergeCell ref="A4:U4"/>
    <mergeCell ref="B5:C5"/>
    <mergeCell ref="Q5:T5"/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2021-10-27T13:43:14Z</dcterms:modified>
</cp:coreProperties>
</file>