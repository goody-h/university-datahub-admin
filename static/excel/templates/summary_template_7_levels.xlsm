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excel_converter\static\excel\templates\"/>
    </mc:Choice>
  </mc:AlternateContent>
  <xr:revisionPtr revIDLastSave="0" documentId="13_ncr:1_{08D8A8E3-5BEC-43D6-8A2E-15CDD7BDBD4A}" xr6:coauthVersionLast="47" xr6:coauthVersionMax="47" xr10:uidLastSave="{00000000-0000-0000-0000-000000000000}"/>
  <bookViews>
    <workbookView xWindow="-90" yWindow="-90" windowWidth="19380" windowHeight="10260" xr2:uid="{00000000-000D-0000-FFFF-FFFF00000000}"/>
  </bookViews>
  <sheets>
    <sheet name="Overall Summary" sheetId="5" r:id="rId1"/>
    <sheet name="Degree Result" sheetId="3" r:id="rId2"/>
  </sheets>
  <externalReferences>
    <externalReference r:id="rId3"/>
  </externalReferences>
  <definedNames>
    <definedName name="_xlnm.Print_Titles" localSheetId="1">'Degree Result'!$1:$1</definedName>
    <definedName name="TCU_ROW" localSheetId="0">'Overall Summary'!#REF!</definedName>
    <definedName name="TQP_ROW" localSheetId="0">'[1]Degree Result'!$R$9</definedName>
    <definedName name="TQP_ROW">'Degree Result'!$R$9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7" i="5" l="1"/>
  <c r="R7" i="5"/>
  <c r="V7" i="5" s="1"/>
  <c r="A7" i="5"/>
  <c r="G2" i="5"/>
  <c r="A12" i="3"/>
  <c r="R12" i="3"/>
  <c r="S12" i="3"/>
  <c r="Q8" i="3"/>
  <c r="M8" i="3"/>
  <c r="H8" i="3"/>
  <c r="C8" i="3"/>
  <c r="B8" i="3"/>
  <c r="W7" i="5" l="1"/>
  <c r="W3" i="5"/>
  <c r="T12" i="3"/>
  <c r="S8" i="3"/>
  <c r="G3" i="5" l="1"/>
  <c r="C3" i="5"/>
  <c r="A3" i="5"/>
  <c r="P3" i="5"/>
  <c r="L3" i="5"/>
</calcChain>
</file>

<file path=xl/sharedStrings.xml><?xml version="1.0" encoding="utf-8"?>
<sst xmlns="http://schemas.openxmlformats.org/spreadsheetml/2006/main" count="90" uniqueCount="65">
  <si>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</si>
  <si>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</si>
  <si>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</si>
  <si>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</si>
  <si>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</si>
  <si>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</si>
  <si>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</si>
  <si>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</si>
  <si>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</si>
  <si>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</si>
  <si>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</si>
  <si>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CU7</t>
  </si>
  <si>
    <t>QP3</t>
  </si>
  <si>
    <t>QP4</t>
  </si>
  <si>
    <t>QP5</t>
  </si>
  <si>
    <t>QP6</t>
  </si>
  <si>
    <t>QP7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</si>
  <si>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</si>
  <si>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</si>
  <si>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</si>
  <si>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</si>
  <si>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</si>
  <si>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</si>
  <si>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</si>
  <si>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</si>
  <si>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</si>
  <si>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YEAR VII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</si>
  <si>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</si>
  <si>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</si>
  <si>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</si>
  <si>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</si>
  <si>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</si>
  <si>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</si>
  <si>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</si>
  <si>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</si>
  <si>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</si>
  <si>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</si>
  <si>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</si>
  <si>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</si>
  <si>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</si>
  <si>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</si>
  <si>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 xml:space="preserve">      QP 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</si>
  <si>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</si>
  <si>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</si>
  <si>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</si>
  <si>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</si>
  <si>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</si>
  <si>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</si>
  <si>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 xml:space="preserve">      CU      </t>
  </si>
  <si>
    <t>S/N</t>
  </si>
  <si>
    <t>UNIVERSITY OF PORT HARCOURT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</si>
  <si>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</si>
  <si>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</si>
  <si>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</si>
  <si>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t>SESSION: 20__/20__</t>
  </si>
  <si>
    <t>DEPARTMENT</t>
  </si>
  <si>
    <t>FACULTY</t>
  </si>
  <si>
    <t>MASTER MARK SHEET FOR THE AWARD OF [DEGREE]</t>
  </si>
  <si>
    <t>MODE OF STUDY: [MODE]</t>
  </si>
  <si>
    <t>Name: [NAME]</t>
  </si>
  <si>
    <r>
      <rPr>
        <sz val="10"/>
        <rFont val="Arial"/>
        <family val="2"/>
      </rPr>
      <t xml:space="preserve">Sign:……………………………..                         </t>
    </r>
  </si>
  <si>
    <r>
      <rPr>
        <sz val="10"/>
        <rFont val="Arial"/>
        <family val="2"/>
      </rPr>
      <t>Date:……………………………….........</t>
    </r>
  </si>
  <si>
    <r>
      <rPr>
        <sz val="10"/>
        <rFont val="Arial"/>
        <family val="2"/>
      </rPr>
      <t>Sign:……………………………..</t>
    </r>
  </si>
  <si>
    <t>Carryovers</t>
  </si>
  <si>
    <t>Review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</si>
</sst>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2" fontId="3" fillId="0" borderId="0">
      <alignment horizontal="center"/>
    </xf>
    <xf numFmtId="0" fontId="3" fillId="0" borderId="0">
      <alignment horizontal="center"/>
    </xf>
    <xf numFmtId="0" fontId="9" fillId="0" borderId="0"/>
    <xf numFmtId="49" fontId="3" fillId="0" borderId="0">
      <alignment horizontal="center"/>
    </xf>
  </cellStyleXfs>
  <cellXfs count="80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7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9" fillId="0" borderId="0" xfId="3"/>
    <xf numFmtId="0" fontId="6" fillId="0" borderId="0" xfId="3" applyFont="1" applyAlignment="1">
      <alignment horizontal="left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right"/>
    </xf>
    <xf numFmtId="0" fontId="3" fillId="0" borderId="3" xfId="0" applyFont="1" applyBorder="1"/>
    <xf numFmtId="0" fontId="3" fillId="0" borderId="4" xfId="0" applyFont="1" applyBorder="1"/>
    <xf numFmtId="0" fontId="3" fillId="0" borderId="6" xfId="0" applyFont="1" applyBorder="1"/>
    <xf numFmtId="0" fontId="3" fillId="0" borderId="0" xfId="0" applyFont="1"/>
    <xf numFmtId="0" fontId="4" fillId="0" borderId="2" xfId="0" applyFont="1" applyBorder="1"/>
    <xf numFmtId="0" fontId="3" fillId="0" borderId="0" xfId="2" applyFont="1" applyFill="1">
      <alignment horizontal="center"/>
    </xf>
    <xf numFmtId="0" fontId="4" fillId="0" borderId="3" xfId="0" applyFont="1" applyBorder="1"/>
    <xf numFmtId="0" fontId="4" fillId="0" borderId="3" xfId="0" applyFont="1" applyBorder="1" applyAlignment="1"/>
    <xf numFmtId="0" fontId="4" fillId="0" borderId="3" xfId="0" applyFont="1" applyBorder="1" applyAlignment="1">
      <alignment horizontal="left"/>
    </xf>
    <xf numFmtId="0" fontId="4" fillId="0" borderId="6" xfId="0" applyFont="1" applyBorder="1"/>
    <xf numFmtId="0" fontId="4" fillId="0" borderId="6" xfId="0" applyFont="1" applyBorder="1" applyAlignment="1">
      <alignment horizontal="left"/>
    </xf>
    <xf numFmtId="0" fontId="6" fillId="0" borderId="0" xfId="3" applyFont="1" applyAlignment="1"/>
    <xf numFmtId="0" fontId="7" fillId="0" borderId="0" xfId="3" applyFont="1" applyAlignment="1">
      <alignment horizontal="left" wrapText="1"/>
    </xf>
    <xf numFmtId="0" fontId="7" fillId="0" borderId="0" xfId="3" applyFont="1" applyAlignment="1">
      <alignment horizontal="left"/>
    </xf>
    <xf numFmtId="0" fontId="3" fillId="0" borderId="0" xfId="0" applyFont="1" applyBorder="1"/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5" xfId="0" applyFont="1" applyBorder="1"/>
    <xf numFmtId="0" fontId="6" fillId="0" borderId="3" xfId="3" applyFont="1" applyBorder="1"/>
    <xf numFmtId="0" fontId="9" fillId="0" borderId="3" xfId="3" applyBorder="1"/>
    <xf numFmtId="0" fontId="6" fillId="0" borderId="0" xfId="3" applyFont="1" applyBorder="1"/>
    <xf numFmtId="0" fontId="6" fillId="0" borderId="0" xfId="3" applyFont="1" applyBorder="1" applyAlignment="1"/>
    <xf numFmtId="0" fontId="9" fillId="0" borderId="0" xfId="3" applyBorder="1"/>
    <xf numFmtId="0" fontId="9" fillId="0" borderId="0" xfId="3" applyBorder="1" applyAlignment="1">
      <alignment vertical="center"/>
    </xf>
    <xf numFmtId="0" fontId="8" fillId="0" borderId="0" xfId="2" applyFont="1" applyFill="1">
      <alignment horizontal="center"/>
    </xf>
    <xf numFmtId="0" fontId="8" fillId="0" borderId="0" xfId="0" applyFont="1"/>
    <xf numFmtId="2" fontId="8" fillId="0" borderId="0" xfId="1" applyFont="1" applyFill="1" applyAlignment="1">
      <alignment horizontal="center"/>
    </xf>
    <xf numFmtId="49" fontId="8" fillId="0" borderId="0" xfId="2" quotePrefix="1" applyNumberFormat="1" applyFont="1" applyFill="1">
      <alignment horizontal="center"/>
    </xf>
    <xf numFmtId="0" fontId="3" fillId="0" borderId="0" xfId="2" applyNumberFormat="1" applyFont="1" applyFill="1">
      <alignment horizontal="center"/>
    </xf>
    <xf numFmtId="2" fontId="3" fillId="0" borderId="0" xfId="1" applyNumberFormat="1" applyFont="1" applyFill="1" applyAlignment="1">
      <alignment horizontal="center"/>
    </xf>
    <xf numFmtId="0" fontId="4" fillId="0" borderId="0" xfId="0" applyFont="1" applyBorder="1" applyAlignment="1">
      <alignment horizontal="center"/>
    </xf>
    <xf numFmtId="0" fontId="3" fillId="0" borderId="10" xfId="0" applyFont="1" applyBorder="1"/>
    <xf numFmtId="0" fontId="4" fillId="0" borderId="1" xfId="0" applyFont="1" applyBorder="1"/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6" fillId="0" borderId="3" xfId="3" applyFont="1" applyBorder="1" applyAlignment="1"/>
    <xf numFmtId="0" fontId="9" fillId="0" borderId="0" xfId="3" applyBorder="1" applyAlignment="1"/>
    <xf numFmtId="0" fontId="9" fillId="0" borderId="0" xfId="3" applyFill="1"/>
    <xf numFmtId="0" fontId="10" fillId="0" borderId="0" xfId="3" applyFont="1" applyFill="1"/>
    <xf numFmtId="0" fontId="5" fillId="0" borderId="0" xfId="3" applyFont="1" applyBorder="1" applyAlignment="1"/>
    <xf numFmtId="0" fontId="5" fillId="0" borderId="0" xfId="3" applyFont="1" applyBorder="1"/>
    <xf numFmtId="0" fontId="9" fillId="0" borderId="0" xfId="3" applyFont="1" applyBorder="1"/>
    <xf numFmtId="49" fontId="3" fillId="0" borderId="0" xfId="4">
      <alignment horizontal="center"/>
    </xf>
    <xf numFmtId="0" fontId="3" fillId="0" borderId="0" xfId="2">
      <alignment horizontal="center"/>
    </xf>
    <xf numFmtId="2" fontId="3" fillId="0" borderId="0" xfId="1">
      <alignment horizontal="center"/>
    </xf>
    <xf numFmtId="0" fontId="1" fillId="0" borderId="3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left"/>
    </xf>
    <xf numFmtId="0" fontId="6" fillId="0" borderId="0" xfId="3" applyFont="1" applyAlignment="1">
      <alignment horizontal="right"/>
    </xf>
    <xf numFmtId="0" fontId="4" fillId="0" borderId="6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</cellXfs>
  <cellStyles count="5">
    <cellStyle name="ClassStyle" xfId="4" xr:uid="{48CDF681-3C37-4934-92E1-8107ED7DF40A}"/>
    <cellStyle name="GPAStyle" xfId="1" xr:uid="{598DCCA2-33D8-4C15-9939-EE9625C09B9F}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80">
    <dxf>
      <numFmt numFmtId="0" formatCode="General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79"/>
      <tableStyleElement type="headerRow" dxfId="78"/>
      <tableStyleElement type="totalRow" dxfId="77"/>
      <tableStyleElement type="firstRowStripe" dxfId="76"/>
    </tableStyle>
    <tableStyle name="Table Style 1" pivot="0" count="2" xr9:uid="{F3B52532-6567-4D06-B143-F5517C4B2318}">
      <tableStyleElement type="wholeTable" dxfId="75"/>
      <tableStyleElement type="headerRow" dxfId="74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OODHOPE%20ORDU/Documents/excel_converter/output/summary_templatex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all Summary"/>
      <sheetName val="Degree Result"/>
    </sheet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63AAFCB-491E-46E6-B84B-9FD7B0AB476E}" name="SummaryTable" displayName="SummaryTable" ref="A6:W7">
  <autoFilter ref="A6:W7" xr:uid="{0767D862-8CCF-431A-9754-E5E349291777}"/>
  <sortState xmlns:xlrd2="http://schemas.microsoft.com/office/spreadsheetml/2017/richdata2" ref="A7:W7">
    <sortCondition descending="1" ref="V6:V7"/>
  </sortState>
  <tableColumns count="23">
    <tableColumn id="21" xr3:uid="{1B527F64-E0F9-4307-BD68-3382BA96703F}" name="S/N" dataDxfId="23" totalsRowDxfId="24" dataCellStyle="Number Style">
      <calculatedColumnFormula>IF(SummaryTable[[#This Row],[TCU]]="", "",COUNT(TCU_ROW:SummaryTable[[#This Row],[TCU]]))</calculatedColumnFormula>
    </tableColumn>
    <tableColumn id="1" xr3:uid="{820DE4EF-A9F5-445F-A249-14333D1AA23D}" name="Matric No." totalsRowLabel="Max"/>
    <tableColumn id="5" xr3:uid="{D53DC9BA-CDE2-4004-9507-CB1F7CF81D85}" name="Name"/>
    <tableColumn id="8" xr3:uid="{75EBFF9A-4C86-4EC7-8B4B-05A56B724688}" name="QP1" totalsRowFunction="max" totalsRowDxfId="22" dataCellStyle="Number Style"/>
    <tableColumn id="9" xr3:uid="{CAF691DF-5DFA-4A30-ADDD-601B761CD6DF}" name="CU1" totalsRowFunction="max" totalsRowDxfId="21" dataCellStyle="Number Style"/>
    <tableColumn id="7" xr3:uid="{1D6124EE-0D72-4EAB-B3D7-2E0C65A86952}" name="QP2" totalsRowFunction="max" totalsRowDxfId="20" dataCellStyle="Number Style"/>
    <tableColumn id="6" xr3:uid="{CDE0C98A-8CD8-4953-85DF-717E24A57994}" name="CU2" totalsRowFunction="max" totalsRowDxfId="19" dataCellStyle="Number Style"/>
    <tableColumn id="10" xr3:uid="{0C2F236B-B630-4E9B-85D6-D09BC739584C}" name="QP3" totalsRowFunction="max" totalsRowDxfId="18" dataCellStyle="Number Style"/>
    <tableColumn id="11" xr3:uid="{194E5118-CA37-4BD0-A27C-C5CA78E4BF45}" name="CU3" totalsRowFunction="max" totalsRowDxfId="17" dataCellStyle="Number Style"/>
    <tableColumn id="12" xr3:uid="{7EF968C9-C609-40C8-803C-D43794E4E589}" name="QP4" totalsRowFunction="max" totalsRowDxfId="16" dataCellStyle="Number Style"/>
    <tableColumn id="13" xr3:uid="{1E5A50C7-C7A2-4062-8A88-2003D2B1EDCF}" name="CU4" totalsRowFunction="max" totalsRowDxfId="15" dataCellStyle="Number Style"/>
    <tableColumn id="14" xr3:uid="{32DC63A6-FCA8-4E11-A712-6E15C82EEC84}" name="QP5" totalsRowFunction="max" totalsRowDxfId="14" dataCellStyle="Number Style"/>
    <tableColumn id="15" xr3:uid="{759E5568-EC3A-4E2E-921C-7EC91761021D}" name="CU5" totalsRowFunction="max" totalsRowDxfId="13" dataCellStyle="Number Style"/>
    <tableColumn id="18" xr3:uid="{B75C69A9-8222-4A28-82D5-46499A60CFF0}" name="QP6" totalsRowFunction="max" totalsRowDxfId="12" dataCellStyle="Number Style"/>
    <tableColumn id="19" xr3:uid="{38E0F9D0-4467-4E3A-8ADD-2F51C23CE35D}" name="CU6" totalsRowFunction="max" totalsRowDxfId="11" dataCellStyle="Number Style"/>
    <tableColumn id="16" xr3:uid="{7BE3DE22-168E-4F93-8676-36190C9EA9A5}" name="QP7" totalsRowFunction="max" totalsRowDxfId="10" dataCellStyle="Number Style"/>
    <tableColumn id="17" xr3:uid="{55B64F04-9A33-4928-97A9-A2BA0F814256}" name="CU7" totalsRowFunction="max" totalsRowDxfId="9" dataCellStyle="Number Style"/>
    <tableColumn id="3" xr3:uid="{020DF1CF-5931-44A0-BBF9-26EE370E8508}" name="TQP" totalsRowFunction="max" totalsRowDxfId="8" dataCellStyle="Number Style">
      <calculatedColumnFormula>SummaryTable[[#This Row],[QP1]]+SummaryTable[[#This Row],[QP2]]+SummaryTable[[#This Row],[QP3]]+SummaryTable[[#This Row],[QP4]]+SummaryTable[[#This Row],[QP5]]+SummaryTable[[#This Row],[QP6]]+SummaryTable[[#This Row],[QP7]]</calculatedColumnFormula>
    </tableColumn>
    <tableColumn id="2" xr3:uid="{A54BC899-E027-49CD-9A10-A649C548F17F}" name="TCU" totalsRowFunction="max" totalsRowDxfId="7" dataCellStyle="Number Style">
      <calculatedColumnFormula>SummaryTable[[#This Row],[CU1]]+SummaryTable[[#This Row],[CU2]]+SummaryTable[[#This Row],[CU3]]+SummaryTable[[#This Row],[CU4]]+SummaryTable[[#This Row],[CU5]]+SummaryTable[[#This Row],[CU6]]+SummaryTable[[#This Row],[CU7]]</calculatedColumnFormula>
    </tableColumn>
    <tableColumn id="23" xr3:uid="{7CBF9683-6DE0-45DD-8829-8CA5895131C4}" name="Carryovers" dataDxfId="5" totalsRowDxfId="6" dataCellStyle="Number Style"/>
    <tableColumn id="22" xr3:uid="{C0041667-512F-4DE1-A523-5F493A8EE3BD}" name="Review" dataDxfId="3" totalsRowDxfId="4" dataCellStyle="Number Style"/>
    <tableColumn id="4" xr3:uid="{0CCD673E-E273-46AC-B826-771979480FC5}" name="CGPA" totalsRowFunction="max" dataDxfId="1" totalsRowDxfId="2" dataCellStyle="GPAStyle">
      <calculatedColumnFormula>IFERROR(SummaryTable[[#This Row],[TQP]]/SummaryTable[[#This Row],[TCU]],0)</calculatedColumnFormula>
    </tableColumn>
    <tableColumn id="20" xr3:uid="{0A864BFD-F0E1-40B4-BB0D-EA6D7C0A32D9}" name="CLASS" dataDxfId="0" dataCellStyle="Number Style">
      <calculatedColumnFormula>IF(SummaryTable[[#This Row],[CGPA]]&gt;4.49,"1st",IF(SummaryTable[[#This Row],[CGPA]]&gt;3.49,"2.1",IF(SummaryTable[[#This Row],[CGPA]]&gt;2.39,"2.2",IF(SummaryTable[[#This Row],[CGPA]]&gt;1.49,"3rd","Pass"))))</calculatedColumnFormula>
    </tableColumn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U12" headerRowDxfId="73" dataDxfId="71" totalsRowDxfId="70" headerRowBorderDxfId="72">
  <sortState xmlns:xlrd2="http://schemas.microsoft.com/office/spreadsheetml/2017/richdata2" ref="A12:T12">
    <sortCondition descending="1" ref="S11:S12"/>
  </sortState>
  <tableColumns count="21">
    <tableColumn id="23" xr3:uid="{3422CEE7-542F-4606-A1CC-183FF75F4BA5}" name="S/N" dataDxfId="69" dataCellStyle="Number Style">
      <calculatedColumnFormula>IF(DegreeTable[[#This Row],[Name]]="", "",COUNT(TQP_ROW:DegreeTable[[#This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68" dataCellStyle="Normal 2"/>
    <tableColumn id="8" xr3:uid="{0D0E4684-0995-4DEF-ACB6-8648D3F82EDC}" name="QP" totalsRowFunction="max" dataDxfId="67" totalsRowDxfId="66" dataCellStyle="Number Style"/>
    <tableColumn id="9" xr3:uid="{8D1B1E20-EA63-415B-8CD9-04893B2D72FB}" name="CU" totalsRowFunction="max" dataDxfId="65" totalsRowDxfId="64" dataCellStyle="Number Style"/>
    <tableColumn id="7" xr3:uid="{E3223D13-ED4C-405E-9713-2FD05E3F31D0}" name=" QP " totalsRowFunction="max" dataDxfId="63" totalsRowDxfId="62" dataCellStyle="Number Style"/>
    <tableColumn id="6" xr3:uid="{3489DBCF-1B38-4FB5-B01C-66C417D4DE5A}" name=" CU " totalsRowFunction="max" dataDxfId="61" totalsRowDxfId="60" dataCellStyle="Number Style"/>
    <tableColumn id="10" xr3:uid="{B8B42F79-6152-4F56-BB62-1154A33091D5}" name="  QP  " totalsRowFunction="max" dataDxfId="59" totalsRowDxfId="58" dataCellStyle="Number Style"/>
    <tableColumn id="11" xr3:uid="{4B806845-BC5A-4E1E-8502-B0155B49077C}" name="  CU  " totalsRowFunction="max" dataDxfId="57" totalsRowDxfId="56" dataCellStyle="Number Style"/>
    <tableColumn id="12" xr3:uid="{EBD1AECA-A627-42A8-8801-0EE0DBD4A275}" name="   QP   " totalsRowFunction="max" dataDxfId="55" totalsRowDxfId="54" dataCellStyle="Number Style"/>
    <tableColumn id="13" xr3:uid="{7552F0D6-A0C9-41F6-961C-900BE21C171F}" name="   CU   " totalsRowFunction="max" dataDxfId="53" totalsRowDxfId="52" dataCellStyle="Number Style"/>
    <tableColumn id="14" xr3:uid="{B1F76EFF-4E66-4F4E-A70C-AECB4C931F9D}" name="    QP    " totalsRowFunction="max" dataDxfId="51" totalsRowDxfId="50" dataCellStyle="Number Style"/>
    <tableColumn id="15" xr3:uid="{A58F761E-2DCA-4EB4-AB1E-C6FF0998BD38}" name="    CU    " totalsRowFunction="max" dataDxfId="49" totalsRowDxfId="48" dataCellStyle="Number Style"/>
    <tableColumn id="18" xr3:uid="{443690B0-2C5B-4FEA-8533-EF488546160D}" name="     QP     " totalsRowFunction="max" dataDxfId="47" totalsRowDxfId="46" dataCellStyle="Number Style"/>
    <tableColumn id="19" xr3:uid="{061629B8-8E35-4631-B805-A1F0F37371A9}" name="     CU     " totalsRowFunction="max" dataDxfId="45" totalsRowDxfId="44" dataCellStyle="Number Style"/>
    <tableColumn id="16" xr3:uid="{7C39ACA2-28D6-47B9-B2C6-3D38BE551BBB}" name="      QP      " totalsRowFunction="max" dataDxfId="43" totalsRowDxfId="42" dataCellStyle="Number Style"/>
    <tableColumn id="17" xr3:uid="{1F80A33A-A2B2-42AD-84ED-14FE907E5F50}" name="      CU      " totalsRowFunction="max" dataDxfId="41" totalsRowDxfId="40" dataCellStyle="Number Style"/>
    <tableColumn id="3" xr3:uid="{263F0515-932A-4948-9DF1-4A8A2B8F549C}" name="TQP" totalsRowFunction="max" dataDxfId="39" totalsRowDxfId="38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calculatedColumnFormula>
    </tableColumn>
    <tableColumn id="2" xr3:uid="{2E75AFB7-7EB3-463B-9BC2-63E811B4F515}" name="TCU" totalsRowFunction="max" dataDxfId="37" totalsRowDxfId="36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calculatedColumnFormula>
    </tableColumn>
    <tableColumn id="4" xr3:uid="{D7DB983F-CDF5-4C0E-BFD5-91F9189C1A37}" name="CGPA" totalsRowFunction="max" dataDxfId="35" totalsRowDxfId="34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CellStyle="Class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18059-C444-490F-88D0-B8B579975389}">
  <sheetPr codeName="Sheet1">
    <pageSetUpPr fitToPage="1"/>
  </sheetPr>
  <dimension ref="A2:Y7"/>
  <sheetViews>
    <sheetView tabSelected="1" zoomScale="80" zoomScaleNormal="80" workbookViewId="0">
      <selection activeCell="A105" sqref="A105"/>
    </sheetView>
  </sheetViews>
  <sheetFormatPr defaultRowHeight="14.25" x14ac:dyDescent="0.65"/>
  <cols>
    <col min="1" max="1" width="3.875" customWidth="1"/>
    <col min="2" max="2" width="14.95703125" customWidth="1"/>
    <col min="3" max="3" width="33.33203125" customWidth="1"/>
    <col min="4" max="17" width="4.9140625" customWidth="1"/>
    <col min="18" max="18" width="7.625" customWidth="1"/>
    <col min="19" max="19" width="9.20703125" customWidth="1"/>
    <col min="20" max="20" width="12.75" customWidth="1"/>
    <col min="21" max="21" width="9.9140625" customWidth="1"/>
    <col min="22" max="23" width="7.625" customWidth="1"/>
  </cols>
  <sheetData>
    <row r="2" spans="1:25" ht="14.75" x14ac:dyDescent="0.75">
      <c r="A2" s="67" t="s">
        <v>29</v>
      </c>
      <c r="B2" s="68"/>
      <c r="C2" s="6"/>
      <c r="D2" s="69" t="s">
        <v>34</v>
      </c>
      <c r="E2" s="69"/>
      <c r="F2" s="69"/>
      <c r="G2" s="59">
        <f>MAX(SummaryTable[TCU])</f>
        <v>0</v>
      </c>
      <c r="H2" s="6"/>
      <c r="I2" s="6"/>
      <c r="J2" s="6"/>
      <c r="K2" s="6"/>
      <c r="L2" s="6"/>
      <c r="M2" s="6"/>
      <c r="N2" s="6"/>
      <c r="O2" s="6"/>
      <c r="P2" s="6"/>
      <c r="Q2" s="6"/>
      <c r="R2" s="3"/>
      <c r="S2" s="3"/>
      <c r="T2" s="3"/>
      <c r="U2" s="3"/>
      <c r="V2" s="3"/>
      <c r="W2" s="4"/>
    </row>
    <row r="3" spans="1:25" ht="14.75" x14ac:dyDescent="0.75">
      <c r="A3" s="70" t="str">
        <f>_xlfn.CONCAT("First Class:  ", COUNTIF(SummaryTable[CLASS],"=1st"))</f>
        <v>First Class:  0</v>
      </c>
      <c r="B3" s="71"/>
      <c r="C3" s="7" t="str">
        <f>_xlfn.CONCAT("2nd Class Upper:  ", COUNTIF(SummaryTable[CLASS],"=2.1"))</f>
        <v>2nd Class Upper:  0</v>
      </c>
      <c r="D3" s="72" t="s">
        <v>30</v>
      </c>
      <c r="E3" s="72"/>
      <c r="F3" s="72"/>
      <c r="G3" s="60">
        <f>COUNTIF(SummaryTable[CLASS],"=2.2")</f>
        <v>0</v>
      </c>
      <c r="H3" s="7"/>
      <c r="I3" s="5"/>
      <c r="J3" s="72" t="s">
        <v>31</v>
      </c>
      <c r="K3" s="72"/>
      <c r="L3" s="60">
        <f>COUNTIF(SummaryTable[CLASS],"=3rd")</f>
        <v>0</v>
      </c>
      <c r="M3" s="5"/>
      <c r="N3" s="5"/>
      <c r="O3" s="61" t="s">
        <v>32</v>
      </c>
      <c r="P3" s="60">
        <f>COUNTIF(SummaryTable[CLASS],"=Pass")</f>
        <v>1</v>
      </c>
      <c r="Q3" s="5"/>
      <c r="R3" s="5"/>
      <c r="S3" s="5"/>
      <c r="T3" s="5"/>
      <c r="U3" s="5"/>
      <c r="V3" s="61" t="s">
        <v>33</v>
      </c>
      <c r="W3" s="8">
        <f>COUNT(SummaryTable[CGPA])</f>
        <v>1</v>
      </c>
    </row>
    <row r="5" spans="1:25" x14ac:dyDescent="0.65">
      <c r="D5" s="63" t="s">
        <v>20</v>
      </c>
      <c r="E5" s="63"/>
      <c r="F5" s="63" t="s">
        <v>21</v>
      </c>
      <c r="G5" s="63"/>
      <c r="H5" s="63" t="s">
        <v>22</v>
      </c>
      <c r="I5" s="63"/>
      <c r="J5" s="63" t="s">
        <v>23</v>
      </c>
      <c r="K5" s="63"/>
      <c r="L5" s="63" t="s">
        <v>24</v>
      </c>
      <c r="M5" s="63"/>
      <c r="N5" s="63" t="s">
        <v>25</v>
      </c>
      <c r="O5" s="63"/>
      <c r="P5" s="63" t="s">
        <v>26</v>
      </c>
      <c r="Q5" s="63"/>
      <c r="R5" s="64" t="s">
        <v>27</v>
      </c>
      <c r="S5" s="65"/>
      <c r="T5" s="66"/>
      <c r="U5" s="64" t="s">
        <v>28</v>
      </c>
      <c r="V5" s="65"/>
      <c r="W5" s="66"/>
    </row>
    <row r="6" spans="1:25" x14ac:dyDescent="0.65">
      <c r="A6" t="s">
        <v>49</v>
      </c>
      <c r="B6" t="s">
        <v>0</v>
      </c>
      <c r="C6" t="s">
        <v>4</v>
      </c>
      <c r="D6" s="2" t="s">
        <v>17</v>
      </c>
      <c r="E6" s="2" t="s">
        <v>18</v>
      </c>
      <c r="F6" s="2" t="s">
        <v>5</v>
      </c>
      <c r="G6" s="2" t="s">
        <v>6</v>
      </c>
      <c r="H6" s="2" t="s">
        <v>12</v>
      </c>
      <c r="I6" s="2" t="s">
        <v>7</v>
      </c>
      <c r="J6" s="2" t="s">
        <v>13</v>
      </c>
      <c r="K6" s="2" t="s">
        <v>8</v>
      </c>
      <c r="L6" s="2" t="s">
        <v>14</v>
      </c>
      <c r="M6" s="2" t="s">
        <v>9</v>
      </c>
      <c r="N6" s="2" t="s">
        <v>15</v>
      </c>
      <c r="O6" s="2" t="s">
        <v>10</v>
      </c>
      <c r="P6" s="2" t="s">
        <v>16</v>
      </c>
      <c r="Q6" s="2" t="s">
        <v>11</v>
      </c>
      <c r="R6" s="2" t="s">
        <v>2</v>
      </c>
      <c r="S6" s="2" t="s">
        <v>1</v>
      </c>
      <c r="T6" s="62" t="s">
        <v>63</v>
      </c>
      <c r="U6" s="62" t="s">
        <v>64</v>
      </c>
      <c r="V6" s="2" t="s">
        <v>3</v>
      </c>
      <c r="W6" s="2" t="s">
        <v>19</v>
      </c>
      <c r="Y6" s="1"/>
    </row>
    <row r="7" spans="1:25" x14ac:dyDescent="0.65">
      <c r="A7" s="57">
        <f>IF(SummaryTable[[#This Row],[TCU]]="", "",COUNT(TCU_ROW:SummaryTable[[#This Row],[TCU]]))</f>
        <v>0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>
        <f>SummaryTable[[#This Row],[QP1]]+SummaryTable[[#This Row],[QP2]]+SummaryTable[[#This Row],[QP3]]+SummaryTable[[#This Row],[QP4]]+SummaryTable[[#This Row],[QP5]]+SummaryTable[[#This Row],[QP6]]+SummaryTable[[#This Row],[QP7]]</f>
        <v>0</v>
      </c>
      <c r="S7" s="57">
        <f>SummaryTable[[#This Row],[CU1]]+SummaryTable[[#This Row],[CU2]]+SummaryTable[[#This Row],[CU3]]+SummaryTable[[#This Row],[CU4]]+SummaryTable[[#This Row],[CU5]]+SummaryTable[[#This Row],[CU6]]+SummaryTable[[#This Row],[CU7]]</f>
        <v>0</v>
      </c>
      <c r="T7" s="57"/>
      <c r="U7" s="57"/>
      <c r="V7" s="58">
        <f>IFERROR(SummaryTable[[#This Row],[TQP]]/SummaryTable[[#This Row],[TCU]],0)</f>
        <v>0</v>
      </c>
      <c r="W7" s="57" t="str">
        <f>IF(SummaryTable[[#This Row],[CGPA]]&gt;4.49,"1st",IF(SummaryTable[[#This Row],[CGPA]]&gt;3.49,"2.1",IF(SummaryTable[[#This Row],[CGPA]]&gt;2.39,"2.2",IF(SummaryTable[[#This Row],[CGPA]]&gt;1.49,"3rd","Pass"))))</f>
        <v>Pass</v>
      </c>
      <c r="Y7" s="1"/>
    </row>
  </sheetData>
  <mergeCells count="14">
    <mergeCell ref="L5:M5"/>
    <mergeCell ref="N5:O5"/>
    <mergeCell ref="P5:Q5"/>
    <mergeCell ref="R5:T5"/>
    <mergeCell ref="U5:W5"/>
    <mergeCell ref="A2:B2"/>
    <mergeCell ref="D2:F2"/>
    <mergeCell ref="A3:B3"/>
    <mergeCell ref="D3:F3"/>
    <mergeCell ref="J3:K3"/>
    <mergeCell ref="D5:E5"/>
    <mergeCell ref="F5:G5"/>
    <mergeCell ref="H5:I5"/>
    <mergeCell ref="J5:K5"/>
  </mergeCells>
  <conditionalFormatting sqref="S1:W1048576">
    <cfRule type="cellIs" priority="6" stopIfTrue="1" operator="equal">
      <formula>""</formula>
    </cfRule>
  </conditionalFormatting>
  <conditionalFormatting sqref="V1:V1048576">
    <cfRule type="cellIs" dxfId="33" priority="8" operator="lessThan">
      <formula>1</formula>
    </cfRule>
  </conditionalFormatting>
  <conditionalFormatting sqref="U1:U1048576">
    <cfRule type="cellIs" dxfId="32" priority="7" operator="equal">
      <formula>"YES"</formula>
    </cfRule>
  </conditionalFormatting>
  <conditionalFormatting sqref="W1:W1048576">
    <cfRule type="cellIs" dxfId="31" priority="1" operator="equal">
      <formula>"Pass"</formula>
    </cfRule>
    <cfRule type="cellIs" dxfId="30" priority="2" operator="equal">
      <formula>"3rd"</formula>
    </cfRule>
    <cfRule type="cellIs" dxfId="29" priority="3" operator="equal">
      <formula>"2.2"</formula>
    </cfRule>
    <cfRule type="cellIs" dxfId="28" priority="4" operator="equal">
      <formula>"2.1"</formula>
    </cfRule>
    <cfRule type="cellIs" dxfId="27" priority="5" operator="equal">
      <formula>"1st"</formula>
    </cfRule>
  </conditionalFormatting>
  <conditionalFormatting sqref="S1:S1048576">
    <cfRule type="cellIs" dxfId="26" priority="9" operator="between">
      <formula>-0.5</formula>
      <formula>$G$2 - 0.5</formula>
    </cfRule>
  </conditionalFormatting>
  <conditionalFormatting sqref="T1:T1048576">
    <cfRule type="cellIs" dxfId="25" priority="10" operator="between">
      <formula>1</formula>
      <formula>$G$2 + 0.5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W20"/>
  <sheetViews>
    <sheetView zoomScaleNormal="100" zoomScalePageLayoutView="50" workbookViewId="0">
      <selection activeCell="A101" sqref="A101"/>
    </sheetView>
  </sheetViews>
  <sheetFormatPr defaultRowHeight="14.25" x14ac:dyDescent="0.65"/>
  <cols>
    <col min="1" max="1" width="4.25" customWidth="1"/>
    <col min="2" max="2" width="15" customWidth="1"/>
    <col min="3" max="3" width="28" customWidth="1"/>
    <col min="4" max="17" width="3.83203125" customWidth="1"/>
    <col min="18" max="21" width="5.75" customWidth="1"/>
  </cols>
  <sheetData>
    <row r="1" spans="1:23" x14ac:dyDescent="0.65">
      <c r="A1" s="73" t="s">
        <v>50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</row>
    <row r="2" spans="1:23" x14ac:dyDescent="0.65">
      <c r="A2" s="73" t="s">
        <v>56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</row>
    <row r="3" spans="1:23" x14ac:dyDescent="0.65">
      <c r="A3" s="73" t="s">
        <v>55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</row>
    <row r="4" spans="1:23" x14ac:dyDescent="0.65">
      <c r="A4" s="73" t="s">
        <v>57</v>
      </c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</row>
    <row r="5" spans="1:23" x14ac:dyDescent="0.65">
      <c r="A5" s="10"/>
      <c r="B5" s="74" t="s">
        <v>58</v>
      </c>
      <c r="C5" s="74"/>
      <c r="D5" s="10"/>
      <c r="E5" s="10"/>
      <c r="F5" s="12"/>
      <c r="G5" s="12"/>
      <c r="H5" s="12"/>
      <c r="I5" s="12"/>
      <c r="J5" s="12"/>
      <c r="K5" s="12"/>
      <c r="L5" s="12"/>
      <c r="N5" s="25"/>
      <c r="O5" s="25"/>
      <c r="P5" s="25"/>
      <c r="Q5" s="75" t="s">
        <v>54</v>
      </c>
      <c r="R5" s="75"/>
      <c r="S5" s="75"/>
      <c r="T5" s="75"/>
      <c r="U5" s="10"/>
    </row>
    <row r="6" spans="1:23" x14ac:dyDescent="0.65">
      <c r="A6" s="10"/>
      <c r="B6" s="11"/>
      <c r="C6" s="11"/>
      <c r="D6" s="10"/>
      <c r="E6" s="10"/>
      <c r="F6" s="12"/>
      <c r="G6" s="12"/>
      <c r="H6" s="12"/>
      <c r="I6" s="12"/>
      <c r="J6" s="12"/>
      <c r="K6" s="12"/>
      <c r="L6" s="12"/>
      <c r="M6" s="13"/>
      <c r="N6" s="13"/>
      <c r="O6" s="13"/>
      <c r="P6" s="13"/>
      <c r="Q6" s="13"/>
      <c r="R6" s="13"/>
      <c r="S6" s="13"/>
      <c r="T6" s="13"/>
      <c r="U6" s="10"/>
    </row>
    <row r="7" spans="1:23" x14ac:dyDescent="0.65">
      <c r="A7" s="28"/>
      <c r="B7" s="18" t="s">
        <v>29</v>
      </c>
      <c r="C7" s="20"/>
      <c r="D7" s="21"/>
      <c r="E7" s="21"/>
      <c r="F7" s="21"/>
      <c r="G7" s="21"/>
      <c r="H7" s="22"/>
      <c r="I7" s="20"/>
      <c r="J7" s="20"/>
      <c r="K7" s="20"/>
      <c r="L7" s="20"/>
      <c r="M7" s="20"/>
      <c r="N7" s="20"/>
      <c r="O7" s="20"/>
      <c r="P7" s="20"/>
      <c r="Q7" s="20"/>
      <c r="R7" s="14"/>
      <c r="S7" s="14"/>
      <c r="T7" s="15"/>
      <c r="U7" s="28"/>
    </row>
    <row r="8" spans="1:23" x14ac:dyDescent="0.65">
      <c r="A8" s="28"/>
      <c r="B8" s="31" t="str">
        <f>_xlfn.CONCAT("First Class:  ", COUNTIF(U:U,"=11"))</f>
        <v>First Class:  0</v>
      </c>
      <c r="C8" s="23" t="str">
        <f>_xlfn.CONCAT("2nd Class Upper:  ", COUNTIF(U:U,"=21"))</f>
        <v>2nd Class Upper:  0</v>
      </c>
      <c r="D8" s="76" t="s">
        <v>30</v>
      </c>
      <c r="E8" s="76"/>
      <c r="F8" s="76"/>
      <c r="G8" s="76"/>
      <c r="H8" s="24">
        <f>COUNTIF(U:U,"=22")</f>
        <v>0</v>
      </c>
      <c r="I8" s="16"/>
      <c r="J8" s="76" t="s">
        <v>31</v>
      </c>
      <c r="K8" s="76"/>
      <c r="L8" s="76"/>
      <c r="M8" s="24">
        <f>COUNTIF(U:U,"=3rd")</f>
        <v>0</v>
      </c>
      <c r="N8" s="16"/>
      <c r="O8" s="76" t="s">
        <v>32</v>
      </c>
      <c r="P8" s="76"/>
      <c r="Q8" s="24">
        <f>COUNTIF(U:U,"=Pass")</f>
        <v>0</v>
      </c>
      <c r="R8" s="16"/>
      <c r="S8" s="76" t="str">
        <f>_xlfn.CONCAT("Total: ", COUNT(R:R))</f>
        <v>Total: 0</v>
      </c>
      <c r="T8" s="77"/>
      <c r="U8" s="30"/>
    </row>
    <row r="9" spans="1:23" x14ac:dyDescent="0.6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</row>
    <row r="10" spans="1:23" x14ac:dyDescent="0.65">
      <c r="A10" s="44"/>
      <c r="B10" s="29"/>
      <c r="C10" s="29"/>
      <c r="D10" s="78" t="s">
        <v>20</v>
      </c>
      <c r="E10" s="79"/>
      <c r="F10" s="78" t="s">
        <v>21</v>
      </c>
      <c r="G10" s="79"/>
      <c r="H10" s="78" t="s">
        <v>22</v>
      </c>
      <c r="I10" s="79"/>
      <c r="J10" s="78" t="s">
        <v>23</v>
      </c>
      <c r="K10" s="79"/>
      <c r="L10" s="78" t="s">
        <v>24</v>
      </c>
      <c r="M10" s="79"/>
      <c r="N10" s="78" t="s">
        <v>25</v>
      </c>
      <c r="O10" s="79"/>
      <c r="P10" s="78" t="s">
        <v>26</v>
      </c>
      <c r="Q10" s="79"/>
      <c r="R10" s="78" t="s">
        <v>27</v>
      </c>
      <c r="S10" s="79"/>
      <c r="T10" s="78" t="s">
        <v>28</v>
      </c>
      <c r="U10" s="79"/>
    </row>
    <row r="11" spans="1:23" x14ac:dyDescent="0.65">
      <c r="A11" s="9" t="s">
        <v>49</v>
      </c>
      <c r="B11" s="45" t="s">
        <v>0</v>
      </c>
      <c r="C11" s="46" t="s">
        <v>4</v>
      </c>
      <c r="D11" s="47" t="s">
        <v>35</v>
      </c>
      <c r="E11" s="47" t="s">
        <v>42</v>
      </c>
      <c r="F11" s="47" t="s">
        <v>36</v>
      </c>
      <c r="G11" s="47" t="s">
        <v>43</v>
      </c>
      <c r="H11" s="47" t="s">
        <v>37</v>
      </c>
      <c r="I11" s="47" t="s">
        <v>44</v>
      </c>
      <c r="J11" s="47" t="s">
        <v>38</v>
      </c>
      <c r="K11" s="47" t="s">
        <v>45</v>
      </c>
      <c r="L11" s="47" t="s">
        <v>39</v>
      </c>
      <c r="M11" s="47" t="s">
        <v>46</v>
      </c>
      <c r="N11" s="47" t="s">
        <v>40</v>
      </c>
      <c r="O11" s="47" t="s">
        <v>47</v>
      </c>
      <c r="P11" s="47" t="s">
        <v>41</v>
      </c>
      <c r="Q11" s="47" t="s">
        <v>48</v>
      </c>
      <c r="R11" s="47" t="s">
        <v>2</v>
      </c>
      <c r="S11" s="47" t="s">
        <v>1</v>
      </c>
      <c r="T11" s="47" t="s">
        <v>3</v>
      </c>
      <c r="U11" s="48" t="s">
        <v>19</v>
      </c>
      <c r="W11" s="1"/>
    </row>
    <row r="12" spans="1:23" x14ac:dyDescent="0.65">
      <c r="A12" s="42" t="str">
        <f>IF(DegreeTable[[#This Row],[Name]]="", "",COUNT(TQP_ROW:DegreeTable[[#This Row],[TQP]]))</f>
        <v/>
      </c>
      <c r="B12" s="51"/>
      <c r="C12" s="52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42" t="str">
        <f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f>
        <v/>
      </c>
      <c r="S12" s="42" t="str">
        <f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f>
        <v/>
      </c>
      <c r="T12" s="43" t="str">
        <f>IF(DegreeTable[[#This Row],[Name]]="", "",IFERROR(DegreeTable[[#This Row],[TQP]]/DegreeTable[[#This Row],[TCU]],0))</f>
        <v/>
      </c>
      <c r="U12" s="56"/>
      <c r="W12" s="1"/>
    </row>
    <row r="13" spans="1:23" x14ac:dyDescent="0.65">
      <c r="A13" s="38"/>
      <c r="B13" s="39"/>
      <c r="C13" s="39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40"/>
      <c r="U13" s="41"/>
    </row>
    <row r="14" spans="1:23" x14ac:dyDescent="0.65">
      <c r="A14" s="38"/>
      <c r="B14" s="39"/>
      <c r="C14" s="39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40"/>
      <c r="U14" s="41"/>
    </row>
    <row r="15" spans="1:23" x14ac:dyDescent="0.6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</row>
    <row r="16" spans="1:23" x14ac:dyDescent="0.65">
      <c r="A16" s="27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</row>
    <row r="17" spans="1:21" x14ac:dyDescent="0.65">
      <c r="A17" s="32" t="s">
        <v>51</v>
      </c>
      <c r="B17" s="32"/>
      <c r="C17" s="32"/>
      <c r="D17" s="32" t="s">
        <v>52</v>
      </c>
      <c r="E17" s="32"/>
      <c r="F17" s="32"/>
      <c r="G17" s="32"/>
      <c r="H17" s="32"/>
      <c r="I17" s="32"/>
      <c r="J17" s="32"/>
      <c r="K17" s="33"/>
      <c r="L17" s="33"/>
      <c r="M17" s="32"/>
      <c r="N17" s="33"/>
      <c r="O17" s="33"/>
      <c r="P17" s="49" t="s">
        <v>53</v>
      </c>
      <c r="Q17" s="49"/>
      <c r="R17" s="49"/>
      <c r="S17" s="49"/>
      <c r="T17" s="49"/>
      <c r="U17" s="49"/>
    </row>
    <row r="18" spans="1:21" x14ac:dyDescent="0.65">
      <c r="A18" s="54" t="s">
        <v>59</v>
      </c>
      <c r="B18" s="34"/>
      <c r="C18" s="34"/>
      <c r="D18" s="53" t="s">
        <v>59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53" t="s">
        <v>59</v>
      </c>
      <c r="Q18" s="50"/>
      <c r="R18" s="50"/>
      <c r="S18" s="50"/>
      <c r="T18" s="50"/>
      <c r="U18" s="50"/>
    </row>
    <row r="19" spans="1:21" x14ac:dyDescent="0.65">
      <c r="A19" s="55" t="s">
        <v>60</v>
      </c>
      <c r="B19" s="36"/>
      <c r="C19" s="36"/>
      <c r="D19" s="55" t="s">
        <v>62</v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55" t="s">
        <v>62</v>
      </c>
      <c r="Q19" s="37"/>
      <c r="R19" s="37"/>
      <c r="S19" s="37"/>
      <c r="T19" s="37"/>
      <c r="U19" s="37"/>
    </row>
    <row r="20" spans="1:21" x14ac:dyDescent="0.65">
      <c r="A20" s="55" t="s">
        <v>61</v>
      </c>
      <c r="B20" s="36"/>
      <c r="C20" s="36"/>
      <c r="D20" s="55" t="s">
        <v>61</v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55" t="s">
        <v>61</v>
      </c>
      <c r="Q20" s="36"/>
      <c r="R20" s="36"/>
      <c r="S20" s="36"/>
      <c r="T20" s="36"/>
      <c r="U20" s="36"/>
    </row>
  </sheetData>
  <mergeCells count="19">
    <mergeCell ref="D8:G8"/>
    <mergeCell ref="J8:L8"/>
    <mergeCell ref="O8:P8"/>
    <mergeCell ref="S8:T8"/>
    <mergeCell ref="R10:S10"/>
    <mergeCell ref="P10:Q10"/>
    <mergeCell ref="N10:O10"/>
    <mergeCell ref="L10:M10"/>
    <mergeCell ref="J10:K10"/>
    <mergeCell ref="H10:I10"/>
    <mergeCell ref="F10:G10"/>
    <mergeCell ref="D10:E10"/>
    <mergeCell ref="T10:U10"/>
    <mergeCell ref="A1:U1"/>
    <mergeCell ref="A2:U2"/>
    <mergeCell ref="A3:U3"/>
    <mergeCell ref="A4:U4"/>
    <mergeCell ref="B5:C5"/>
    <mergeCell ref="Q5:T5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Overall Summary</vt:lpstr>
      <vt:lpstr>Degree Result</vt:lpstr>
      <vt:lpstr>'Degree Result'!Print_Titles</vt:lpstr>
      <vt:lpstr>TQP_ROW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2021-11-01T11:21:59Z</dcterms:modified>
</cp:coreProperties>
</file>