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03460483-2450-46CC-9152-AF9423733363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A7" i="5"/>
  <c r="Q7" i="5"/>
  <c r="P7" i="5"/>
  <c r="G2" i="5"/>
  <c r="Q12" i="3"/>
  <c r="P12" i="3"/>
  <c r="O8" i="3"/>
  <c r="L8" i="3"/>
  <c r="H8" i="3"/>
  <c r="C8" i="3"/>
  <c r="B8" i="3"/>
  <c r="T7" i="5" l="1"/>
  <c r="U7" i="5" s="1"/>
  <c r="R12" i="3"/>
  <c r="Q8" i="3"/>
  <c r="U3" i="5" l="1"/>
  <c r="G3" i="5"/>
  <c r="L3" i="5"/>
  <c r="C3" i="5"/>
  <c r="A3" i="5"/>
  <c r="O3" i="5"/>
</calcChain>
</file>

<file path=xl/sharedStrings.xml><?xml version="1.0" encoding="utf-8"?>
<sst xmlns="http://schemas.openxmlformats.org/spreadsheetml/2006/main" count="84" uniqueCount="60">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</sst>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3"/>
      <tableStyleElement type="headerRow" dxfId="72"/>
      <tableStyleElement type="totalRow" dxfId="71"/>
      <tableStyleElement type="firstRowStripe" dxfId="70"/>
    </tableStyle>
    <tableStyle name="Table Style 1" pivot="0" count="2" xr9:uid="{F3B52532-6567-4D06-B143-F5517C4B2318}">
      <tableStyleElement type="wholeTable" dxfId="69"/>
      <tableStyleElement type="headerRow" dxfId="68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U7">
  <autoFilter ref="A6:U7" xr:uid="{0767D862-8CCF-431A-9754-E5E349291777}"/>
  <sortState xmlns:xlrd2="http://schemas.microsoft.com/office/spreadsheetml/2017/richdata2" ref="A7:U7">
    <sortCondition descending="1" ref="T6:T7"/>
  </sortState>
  <tableColumns count="21">
    <tableColumn id="21" xr3:uid="{A791A53B-CA67-497C-8418-B9B2F17A7767}" name="S/N" dataDxfId="58" totalsRowDxfId="57" dataCellStyle="Number Style">
      <calculatedColumnFormula>IF(SummaryTable[[#This Row],[TCU]]="", "",COUNT(SummaryTable[[#Headers],[TCU]]:SummaryTable[[#This Row],[TCU]]))</calculatedColumnFormula>
    </tableColumn>
    <tableColumn id="1" xr3:uid="{EE254DB7-1883-4E42-82E2-7DD2C8964E30}" name="Matric No." totalsRowLabel="Max"/>
    <tableColumn id="5" xr3:uid="{9F6DA7E8-8D36-46AD-B307-8AE716A9EBBE}" name="Name"/>
    <tableColumn id="8" xr3:uid="{5977124E-D3E5-4303-B965-3F7FA1677B5B}" name="QP1" totalsRowFunction="max" totalsRowDxfId="56" dataCellStyle="Number Style"/>
    <tableColumn id="9" xr3:uid="{68964C48-E2A5-4B0D-A73F-A2EE128A482C}" name="CU1" totalsRowFunction="max" totalsRowDxfId="55" dataCellStyle="Number Style"/>
    <tableColumn id="7" xr3:uid="{CD46388A-9BC5-43C5-A7C7-EB7B9E8C211D}" name="QP2" totalsRowFunction="max" totalsRowDxfId="54" dataCellStyle="Number Style"/>
    <tableColumn id="6" xr3:uid="{B7B082BC-0DC6-430D-B080-9D7362E52871}" name="CU2" totalsRowFunction="max" totalsRowDxfId="53" dataCellStyle="Number Style"/>
    <tableColumn id="10" xr3:uid="{67C73940-65C5-4422-9EA1-D8B2754F93D8}" name="QP3" totalsRowFunction="max" totalsRowDxfId="52" dataCellStyle="Number Style"/>
    <tableColumn id="11" xr3:uid="{EB36F96C-86EC-421A-808E-A22C74D149A0}" name="CU3" totalsRowFunction="max" totalsRowDxfId="51" dataCellStyle="Number Style"/>
    <tableColumn id="12" xr3:uid="{9BB6169E-5AB5-432A-A175-1FBB6C7FC632}" name="QP4" totalsRowFunction="max" totalsRowDxfId="50" dataCellStyle="Number Style"/>
    <tableColumn id="13" xr3:uid="{5089E6EF-1D3F-4FB4-BAFA-BA81A4106CEF}" name="CU4" totalsRowFunction="max" totalsRowDxfId="49" dataCellStyle="Number Style"/>
    <tableColumn id="14" xr3:uid="{4E7410D5-820C-4C6E-950C-E670D6494CFE}" name="QP5" totalsRowFunction="max" totalsRowDxfId="48" dataCellStyle="Number Style"/>
    <tableColumn id="15" xr3:uid="{DA340F0F-97B0-4ED0-873D-494966BC891B}" name="CU5" totalsRowFunction="max" totalsRowDxfId="47" dataCellStyle="Number Style"/>
    <tableColumn id="18" xr3:uid="{1460E2EF-8E28-4851-89CB-0F52AF627482}" name="QP6" totalsRowFunction="max" totalsRowDxfId="46" dataCellStyle="Number Style"/>
    <tableColumn id="19" xr3:uid="{5DE7F89D-A6A9-47A4-8FD2-D8429DB32A64}" name="CU6" totalsRowFunction="max" totalsRowDxfId="45" dataCellStyle="Number Style"/>
    <tableColumn id="3" xr3:uid="{C758ACFD-FE40-47C9-8AD4-A0CAA7BAD0E8}" name="TQP" totalsRowFunction="max" totalsRowDxfId="44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43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42" totalsRowDxfId="41" dataCellStyle="Number Style"/>
    <tableColumn id="22" xr3:uid="{33BC50EF-DABD-4EBF-AFD2-D2F4AACF71F5}" name="Review" dataDxfId="40" totalsRowDxfId="39" dataCellStyle="Number Style"/>
    <tableColumn id="4" xr3:uid="{615DD113-AC4B-457E-8D44-0E64EEF0739C}" name="CGPA" totalsRowFunction="max" dataDxfId="38" totalsRowDxfId="37" dataCellStyle="GPAStyle">
      <calculatedColumnFormula>IFERROR(SummaryTable[[#This Row],[TQP]]/SummaryTable[[#This Row],[TCU]],0)</calculatedColumnFormula>
    </tableColumn>
    <tableColumn id="20" xr3:uid="{1DC1D720-BD98-4C7D-A229-5F87861DAA53}" name="CLASS" dataDxfId="36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W7"/>
  <sheetViews>
    <sheetView tabSelected="1" zoomScale="80" zoomScaleNormal="80" workbookViewId="0">
      <selection activeCell="A108" sqref="A108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5" width="4.9140625" customWidth="1"/>
    <col min="16" max="16" width="7.625" customWidth="1"/>
    <col min="17" max="17" width="9.20703125" customWidth="1"/>
    <col min="18" max="18" width="12.75" customWidth="1"/>
    <col min="19" max="19" width="9.9140625" customWidth="1"/>
    <col min="20" max="21" width="7.625" customWidth="1"/>
  </cols>
  <sheetData>
    <row r="2" spans="1:23" ht="14.75" x14ac:dyDescent="0.75">
      <c r="A2" s="67" t="s">
        <v>26</v>
      </c>
      <c r="B2" s="68"/>
      <c r="C2" s="6"/>
      <c r="D2" s="69" t="s">
        <v>31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3" ht="14.75" x14ac:dyDescent="0.75">
      <c r="A3" s="70" t="str">
        <f>_xlfn.CONCAT("First Class:  ", COUNTIF(SummaryTable[CLASS],"=1st"))</f>
        <v>First Class:  0</v>
      </c>
      <c r="B3" s="71"/>
      <c r="C3" s="7" t="str">
        <f>_xlfn.CONCAT("2nd Class Upper:  ", COUNTIF(SummaryTable[CLASS],"=2.1"))</f>
        <v>2nd Class Upper:  0</v>
      </c>
      <c r="D3" s="72" t="s">
        <v>27</v>
      </c>
      <c r="E3" s="72"/>
      <c r="F3" s="72"/>
      <c r="G3" s="60">
        <f>COUNTIF(SummaryTable[CLASS],"=2.2")</f>
        <v>0</v>
      </c>
      <c r="H3" s="7"/>
      <c r="I3" s="5"/>
      <c r="J3" s="72" t="s">
        <v>28</v>
      </c>
      <c r="K3" s="72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3" x14ac:dyDescent="0.65">
      <c r="D5" s="63" t="s">
        <v>18</v>
      </c>
      <c r="E5" s="63"/>
      <c r="F5" s="63" t="s">
        <v>19</v>
      </c>
      <c r="G5" s="63"/>
      <c r="H5" s="63" t="s">
        <v>20</v>
      </c>
      <c r="I5" s="63"/>
      <c r="J5" s="63" t="s">
        <v>21</v>
      </c>
      <c r="K5" s="63"/>
      <c r="L5" s="63" t="s">
        <v>22</v>
      </c>
      <c r="M5" s="63"/>
      <c r="N5" s="63" t="s">
        <v>23</v>
      </c>
      <c r="O5" s="63"/>
      <c r="P5" s="64" t="s">
        <v>24</v>
      </c>
      <c r="Q5" s="65"/>
      <c r="R5" s="66"/>
      <c r="S5" s="64" t="s">
        <v>25</v>
      </c>
      <c r="T5" s="65"/>
      <c r="U5" s="66"/>
    </row>
    <row r="6" spans="1:23" x14ac:dyDescent="0.6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W6" s="1"/>
    </row>
    <row r="7" spans="1:23" x14ac:dyDescent="0.6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7" s="1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S1:S1048576">
    <cfRule type="cellIs" dxfId="66" priority="7" operator="equal">
      <formula>"YES"</formula>
    </cfRule>
  </conditionalFormatting>
  <conditionalFormatting sqref="U1:U1048576">
    <cfRule type="cellIs" dxfId="65" priority="1" operator="equal">
      <formula>"Pass"</formula>
    </cfRule>
    <cfRule type="cellIs" dxfId="64" priority="2" operator="equal">
      <formula>"3rd"</formula>
    </cfRule>
    <cfRule type="cellIs" dxfId="63" priority="3" operator="equal">
      <formula>"2.2"</formula>
    </cfRule>
    <cfRule type="cellIs" dxfId="62" priority="4" operator="equal">
      <formula>"2.1"</formula>
    </cfRule>
    <cfRule type="cellIs" dxfId="61" priority="5" operator="equal">
      <formula>"1st"</formula>
    </cfRule>
  </conditionalFormatting>
  <conditionalFormatting sqref="Q1:Q1048576">
    <cfRule type="cellIs" dxfId="60" priority="9" operator="between">
      <formula>-0.5</formula>
      <formula>$G$2 - 0.5</formula>
    </cfRule>
  </conditionalFormatting>
  <conditionalFormatting sqref="R1:R1048576">
    <cfRule type="cellIs" dxfId="59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83" sqref="A83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5" width="3.83203125" customWidth="1"/>
    <col min="16" max="19" width="5.75" customWidth="1"/>
  </cols>
  <sheetData>
    <row r="1" spans="1:21" x14ac:dyDescent="0.65">
      <c r="A1" s="73" t="s">
        <v>45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</row>
    <row r="2" spans="1:21" x14ac:dyDescent="0.65">
      <c r="A2" s="73" t="s">
        <v>51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</row>
    <row r="3" spans="1:21" x14ac:dyDescent="0.65">
      <c r="A3" s="73" t="s">
        <v>50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</row>
    <row r="4" spans="1:21" x14ac:dyDescent="0.65">
      <c r="A4" s="73" t="s">
        <v>52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</row>
    <row r="5" spans="1:21" x14ac:dyDescent="0.65">
      <c r="A5" s="10"/>
      <c r="B5" s="74" t="s">
        <v>53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5" t="s">
        <v>49</v>
      </c>
      <c r="Q5" s="75"/>
      <c r="R5" s="75"/>
      <c r="S5" s="10"/>
    </row>
    <row r="6" spans="1:21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6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65">
      <c r="A8" s="28"/>
      <c r="B8" s="31" t="str">
        <f>_xlfn.CONCAT("First Class:  ", COUNTIF(S:S,"=11"))</f>
        <v>First Class:  0</v>
      </c>
      <c r="C8" s="23" t="str">
        <f>_xlfn.CONCAT("2nd Class Upper:  ", COUNTIF(S:S,"=21"))</f>
        <v>2nd Class Upper:  0</v>
      </c>
      <c r="D8" s="76" t="s">
        <v>27</v>
      </c>
      <c r="E8" s="76"/>
      <c r="F8" s="76"/>
      <c r="G8" s="76"/>
      <c r="H8" s="24">
        <f>COUNTIF(S:S,"=22")</f>
        <v>0</v>
      </c>
      <c r="I8" s="76" t="s">
        <v>28</v>
      </c>
      <c r="J8" s="76"/>
      <c r="K8" s="76"/>
      <c r="L8" s="24">
        <f>COUNTIF(S:S,"=3rd")</f>
        <v>0</v>
      </c>
      <c r="M8" s="76" t="s">
        <v>29</v>
      </c>
      <c r="N8" s="76"/>
      <c r="O8" s="24">
        <f>COUNTIF(S:S,"=Pass")</f>
        <v>0</v>
      </c>
      <c r="P8" s="16"/>
      <c r="Q8" s="76" t="str">
        <f>_xlfn.CONCAT("Total: ", COUNT(P:P))</f>
        <v>Total: 0</v>
      </c>
      <c r="R8" s="77"/>
      <c r="S8" s="30"/>
    </row>
    <row r="9" spans="1:21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65">
      <c r="A10" s="44"/>
      <c r="B10" s="29"/>
      <c r="C10" s="29"/>
      <c r="D10" s="78" t="s">
        <v>18</v>
      </c>
      <c r="E10" s="79"/>
      <c r="F10" s="78" t="s">
        <v>19</v>
      </c>
      <c r="G10" s="79"/>
      <c r="H10" s="78" t="s">
        <v>20</v>
      </c>
      <c r="I10" s="79"/>
      <c r="J10" s="78" t="s">
        <v>21</v>
      </c>
      <c r="K10" s="79"/>
      <c r="L10" s="78" t="s">
        <v>22</v>
      </c>
      <c r="M10" s="79"/>
      <c r="N10" s="78" t="s">
        <v>23</v>
      </c>
      <c r="O10" s="79"/>
      <c r="P10" s="78" t="s">
        <v>24</v>
      </c>
      <c r="Q10" s="79"/>
      <c r="R10" s="78" t="s">
        <v>25</v>
      </c>
      <c r="S10" s="79"/>
    </row>
    <row r="11" spans="1:21" x14ac:dyDescent="0.6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6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6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6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6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6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  <mergeCell ref="A1:S1"/>
    <mergeCell ref="A2:S2"/>
    <mergeCell ref="A3:S3"/>
    <mergeCell ref="A4:S4"/>
    <mergeCell ref="B5:C5"/>
    <mergeCell ref="P5:R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2021-11-03T15:54:39Z</dcterms:modified>
</cp:coreProperties>
</file>