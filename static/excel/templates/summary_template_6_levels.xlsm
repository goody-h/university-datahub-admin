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DataHub Files\templates\"/>
    </mc:Choice>
  </mc:AlternateContent>
  <xr:revisionPtr revIDLastSave="0" documentId="13_ncr:1_{6EE43065-408C-4D38-9C4D-A0196329B4EB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3" l="1"/>
  <c r="C8" i="3"/>
  <c r="B8" i="3"/>
  <c r="A12" i="3"/>
  <c r="Q7" i="5"/>
  <c r="A7" i="5" s="1"/>
  <c r="P7" i="5"/>
  <c r="Q12" i="3"/>
  <c r="P12" i="3"/>
  <c r="O8" i="3"/>
  <c r="L8" i="3"/>
  <c r="H8" i="3"/>
  <c r="G2" i="5" l="1"/>
  <c r="T7" i="5"/>
  <c r="U7" i="5" s="1"/>
  <c r="R12" i="3"/>
  <c r="A3" i="5" l="1"/>
  <c r="C3" i="5"/>
  <c r="U3" i="5"/>
  <c r="G3" i="5"/>
  <c r="L3" i="5"/>
  <c r="O3" i="5"/>
</calcChain>
</file>

<file path=xl/sharedStrings.xml><?xml version="1.0" encoding="utf-8"?>
<sst xmlns="http://schemas.openxmlformats.org/spreadsheetml/2006/main" count="86" uniqueCount="62">
  <si>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</si>
  <si>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</si>
  <si>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</si>
  <si>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</si>
  <si>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</si>
  <si>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</si>
  <si>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</si>
  <si>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</si>
  <si>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</si>
  <si>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</si>
  <si>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</si>
  <si>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</si>
  <si>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</si>
  <si>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</si>
  <si>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</si>
  <si>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</si>
  <si>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</si>
  <si>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</si>
  <si>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</si>
  <si>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</si>
  <si>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</si>
  <si>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</si>
  <si>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</si>
  <si>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</si>
  <si>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</si>
  <si>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</si>
  <si>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</si>
  <si>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</si>
  <si>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</si>
  <si>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</si>
  <si>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</si>
  <si>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</si>
  <si>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</si>
  <si>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</si>
  <si>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</si>
  <si>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</si>
  <si>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</si>
  <si>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</si>
  <si>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</si>
  <si>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</si>
  <si>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</si>
  <si>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</si>
  <si>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</si>
  <si>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</si>
  <si>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</si>
  <si>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</si>
  <si>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</si>
  <si>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</si>
  <si>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</si>
  <si>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</si>
  <si>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</si>
  <si>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</si>
  <si>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</si>
  <si>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</si>
  <si>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</si>
  <si>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</si>
  <si>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</si>
  <si>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</si>
  <si>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</si>
  <si>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</si>
  <si>
    <t>Graduate</t>
  </si>
  <si>
    <t>Outstanding 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</si>
</sst>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6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85"/>
      <tableStyleElement type="headerRow" dxfId="84"/>
      <tableStyleElement type="totalRow" dxfId="83"/>
      <tableStyleElement type="firstRowStripe" dxfId="82"/>
    </tableStyle>
    <tableStyle name="Table Style 1" pivot="0" count="2" xr9:uid="{F3B52532-6567-4D06-B143-F5517C4B2318}">
      <tableStyleElement type="wholeTable" dxfId="81"/>
      <tableStyleElement type="headerRow" dxfId="80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26BDF-A740-4F77-9795-F0FF1DEE3740}" name="SummaryTable" displayName="SummaryTable" ref="A6:W7">
  <autoFilter ref="A6:W7" xr:uid="{0767D862-8CCF-431A-9754-E5E349291777}"/>
  <sortState xmlns:xlrd2="http://schemas.microsoft.com/office/spreadsheetml/2017/richdata2" ref="A7:U7">
    <sortCondition descending="1" ref="T6:T7"/>
  </sortState>
  <tableColumns count="23">
    <tableColumn id="21" xr3:uid="{A791A53B-CA67-497C-8418-B9B2F17A7767}" name="S/N" dataDxfId="42" totalsRowDxfId="43" dataCellStyle="Number Style">
      <calculatedColumnFormula>IF(SummaryTable[[#This Row],[TCU]]="", "",COUNT(SummaryTable[[#Headers],[TCU]]:SummaryTable[[#This Row],[TCU]]))</calculatedColumnFormula>
    </tableColumn>
    <tableColumn id="1" xr3:uid="{EE254DB7-1883-4E42-82E2-7DD2C8964E30}" name="Matric No." totalsRowLabel="Max"/>
    <tableColumn id="5" xr3:uid="{9F6DA7E8-8D36-46AD-B307-8AE716A9EBBE}" name="Name"/>
    <tableColumn id="8" xr3:uid="{5977124E-D3E5-4303-B965-3F7FA1677B5B}" name="QP1" totalsRowFunction="max" totalsRowDxfId="41" dataCellStyle="Number Style"/>
    <tableColumn id="9" xr3:uid="{68964C48-E2A5-4B0D-A73F-A2EE128A482C}" name="CU1" totalsRowFunction="max" totalsRowDxfId="40" dataCellStyle="Number Style"/>
    <tableColumn id="7" xr3:uid="{CD46388A-9BC5-43C5-A7C7-EB7B9E8C211D}" name="QP2" totalsRowFunction="max" totalsRowDxfId="39" dataCellStyle="Number Style"/>
    <tableColumn id="6" xr3:uid="{B7B082BC-0DC6-430D-B080-9D7362E52871}" name="CU2" totalsRowFunction="max" totalsRowDxfId="38" dataCellStyle="Number Style"/>
    <tableColumn id="10" xr3:uid="{67C73940-65C5-4422-9EA1-D8B2754F93D8}" name="QP3" totalsRowFunction="max" totalsRowDxfId="37" dataCellStyle="Number Style"/>
    <tableColumn id="11" xr3:uid="{EB36F96C-86EC-421A-808E-A22C74D149A0}" name="CU3" totalsRowFunction="max" totalsRowDxfId="36" dataCellStyle="Number Style"/>
    <tableColumn id="12" xr3:uid="{9BB6169E-5AB5-432A-A175-1FBB6C7FC632}" name="QP4" totalsRowFunction="max" totalsRowDxfId="35" dataCellStyle="Number Style"/>
    <tableColumn id="13" xr3:uid="{5089E6EF-1D3F-4FB4-BAFA-BA81A4106CEF}" name="CU4" totalsRowFunction="max" totalsRowDxfId="34" dataCellStyle="Number Style"/>
    <tableColumn id="14" xr3:uid="{4E7410D5-820C-4C6E-950C-E670D6494CFE}" name="QP5" totalsRowFunction="max" totalsRowDxfId="33" dataCellStyle="Number Style"/>
    <tableColumn id="15" xr3:uid="{DA340F0F-97B0-4ED0-873D-494966BC891B}" name="CU5" totalsRowFunction="max" totalsRowDxfId="32" dataCellStyle="Number Style"/>
    <tableColumn id="18" xr3:uid="{1460E2EF-8E28-4851-89CB-0F52AF627482}" name="QP6" totalsRowFunction="max" totalsRowDxfId="31" dataCellStyle="Number Style"/>
    <tableColumn id="19" xr3:uid="{5DE7F89D-A6A9-47A4-8FD2-D8429DB32A64}" name="CU6" totalsRowFunction="max" totalsRowDxfId="30" dataCellStyle="Number Style"/>
    <tableColumn id="3" xr3:uid="{C758ACFD-FE40-47C9-8AD4-A0CAA7BAD0E8}" name="TQP" totalsRowFunction="max" totalsRowDxfId="29" dataCellStyle="Number Style">
      <calculatedColumnFormula>SummaryTable[[#This Row],[QP1]]+SummaryTable[[#This Row],[QP2]]+SummaryTable[[#This Row],[QP3]]+SummaryTable[[#This Row],[QP4]]+SummaryTable[[#This Row],[QP5]]+SummaryTable[[#This Row],[QP6]]</calculatedColumnFormula>
    </tableColumn>
    <tableColumn id="2" xr3:uid="{2AB2DD1B-37FA-419B-A59E-5D576F04F22E}" name="TCU" totalsRowFunction="max" totalsRowDxfId="28" dataCellStyle="Number Style">
      <calculatedColumnFormula>SummaryTable[[#This Row],[CU1]]+SummaryTable[[#This Row],[CU2]]+SummaryTable[[#This Row],[CU3]]+SummaryTable[[#This Row],[CU4]]+SummaryTable[[#This Row],[CU5]]+SummaryTable[[#This Row],[CU6]]</calculatedColumnFormula>
    </tableColumn>
    <tableColumn id="23" xr3:uid="{92721CBD-CCF6-47C7-961D-A6401CED90DD}" name="Carryovers" dataDxfId="26" totalsRowDxfId="27" dataCellStyle="Number Style"/>
    <tableColumn id="22" xr3:uid="{33BC50EF-DABD-4EBF-AFD2-D2F4AACF71F5}" name="Review" dataDxfId="24" totalsRowDxfId="25" dataCellStyle="Number Style"/>
    <tableColumn id="4" xr3:uid="{615DD113-AC4B-457E-8D44-0E64EEF0739C}" name="CGPA" totalsRowFunction="max" dataDxfId="22" totalsRowDxfId="23" dataCellStyle="GPAStyle">
      <calculatedColumnFormula>IFERROR(SummaryTable[[#This Row],[TQP]]/SummaryTable[[#This Row],[TCU]],0)</calculatedColumnFormula>
    </tableColumn>
    <tableColumn id="20" xr3:uid="{1DC1D720-BD98-4C7D-A229-5F87861DAA53}" name="CLASS" dataDxfId="21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  <tableColumn id="16" xr3:uid="{6754202A-E883-491C-BED1-2F600A4881EA}" name="Graduate" totalsRowDxfId="20" dataCellStyle="Number Style"/>
    <tableColumn id="17" xr3:uid="{C72753C8-D98B-46A0-9B45-98BDDEC2E189}" name="Outstanding Courses" totalsRowDxfId="19"/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79" dataDxfId="77" totalsRowDxfId="76" headerRowBorderDxfId="78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75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74" dataCellStyle="Normal 2"/>
    <tableColumn id="8" xr3:uid="{0D0E4684-0995-4DEF-ACB6-8648D3F82EDC}" name="QP" totalsRowFunction="max" dataDxfId="73" totalsRowDxfId="72" dataCellStyle="Number Style"/>
    <tableColumn id="9" xr3:uid="{8D1B1E20-EA63-415B-8CD9-04893B2D72FB}" name="CU" totalsRowFunction="max" dataDxfId="71" totalsRowDxfId="70" dataCellStyle="Number Style"/>
    <tableColumn id="7" xr3:uid="{E3223D13-ED4C-405E-9713-2FD05E3F31D0}" name=" QP " totalsRowFunction="max" dataDxfId="69" totalsRowDxfId="68" dataCellStyle="Number Style"/>
    <tableColumn id="6" xr3:uid="{3489DBCF-1B38-4FB5-B01C-66C417D4DE5A}" name=" CU " totalsRowFunction="max" dataDxfId="67" totalsRowDxfId="66" dataCellStyle="Number Style"/>
    <tableColumn id="10" xr3:uid="{B8B42F79-6152-4F56-BB62-1154A33091D5}" name="  QP  " totalsRowFunction="max" dataDxfId="65" totalsRowDxfId="64" dataCellStyle="Number Style"/>
    <tableColumn id="11" xr3:uid="{4B806845-BC5A-4E1E-8502-B0155B49077C}" name="  CU  " totalsRowFunction="max" dataDxfId="63" totalsRowDxfId="62" dataCellStyle="Number Style"/>
    <tableColumn id="12" xr3:uid="{EBD1AECA-A627-42A8-8801-0EE0DBD4A275}" name="   QP   " totalsRowFunction="max" dataDxfId="61" totalsRowDxfId="60" dataCellStyle="Number Style"/>
    <tableColumn id="13" xr3:uid="{7552F0D6-A0C9-41F6-961C-900BE21C171F}" name="   CU   " totalsRowFunction="max" dataDxfId="59" totalsRowDxfId="58" dataCellStyle="Number Style"/>
    <tableColumn id="14" xr3:uid="{B1F76EFF-4E66-4F4E-A70C-AECB4C931F9D}" name="    QP    " totalsRowFunction="max" dataDxfId="57" totalsRowDxfId="56" dataCellStyle="Number Style"/>
    <tableColumn id="15" xr3:uid="{A58F761E-2DCA-4EB4-AB1E-C6FF0998BD38}" name="    CU    " totalsRowFunction="max" dataDxfId="55" totalsRowDxfId="54" dataCellStyle="Number Style"/>
    <tableColumn id="18" xr3:uid="{443690B0-2C5B-4FEA-8533-EF488546160D}" name="     QP     " totalsRowFunction="max" dataDxfId="53" totalsRowDxfId="52" dataCellStyle="Number Style"/>
    <tableColumn id="19" xr3:uid="{061629B8-8E35-4631-B805-A1F0F37371A9}" name="     CU     " totalsRowFunction="max" dataDxfId="51" totalsRowDxfId="50" dataCellStyle="Number Style"/>
    <tableColumn id="3" xr3:uid="{263F0515-932A-4948-9DF1-4A8A2B8F549C}" name="TQP" totalsRowFunction="max" dataDxfId="49" totalsRowDxfId="48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47" totalsRowDxfId="46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45" totalsRowDxfId="44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65B7-A505-4D52-882D-AFF03F5B4788}">
  <sheetPr codeName="Sheet1">
    <pageSetUpPr fitToPage="1"/>
  </sheetPr>
  <dimension ref="A2:W7"/>
  <sheetViews>
    <sheetView tabSelected="1" zoomScale="80" zoomScaleNormal="80" workbookViewId="0">
      <selection activeCell="A76" sqref="A76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5" width="4.90234375" customWidth="1"/>
    <col min="16" max="16" width="7.6171875" customWidth="1"/>
    <col min="17" max="17" width="9.1875" customWidth="1"/>
    <col min="18" max="18" width="12.76171875" customWidth="1"/>
    <col min="19" max="19" width="9.90234375" customWidth="1"/>
    <col min="20" max="21" width="7.6171875" customWidth="1"/>
    <col min="22" max="22" width="10.37890625" customWidth="1"/>
    <col min="23" max="23" width="88.76171875" customWidth="1"/>
  </cols>
  <sheetData>
    <row r="2" spans="1:23" ht="14.4" x14ac:dyDescent="0.55000000000000004">
      <c r="A2" s="67" t="s">
        <v>26</v>
      </c>
      <c r="B2" s="68"/>
      <c r="C2" s="6"/>
      <c r="D2" s="69" t="s">
        <v>31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3"/>
      <c r="Q2" s="3"/>
      <c r="R2" s="3"/>
      <c r="S2" s="3"/>
      <c r="T2" s="3"/>
      <c r="U2" s="4"/>
    </row>
    <row r="3" spans="1:23" ht="14.4" x14ac:dyDescent="0.55000000000000004">
      <c r="A3" s="70" t="str">
        <f>"First Class:  " &amp; COUNTIF(SummaryTable[CLASS],"=1st")</f>
        <v>First Class:  0</v>
      </c>
      <c r="B3" s="71"/>
      <c r="C3" s="7" t="str">
        <f>"2nd Class Upper:  " &amp; COUNTIF(SummaryTable[CLASS],"=2.1")</f>
        <v>2nd Class Upper:  0</v>
      </c>
      <c r="D3" s="72" t="s">
        <v>27</v>
      </c>
      <c r="E3" s="72"/>
      <c r="F3" s="72"/>
      <c r="G3" s="60">
        <f>COUNTIF(SummaryTable[CLASS],"=2.2")</f>
        <v>0</v>
      </c>
      <c r="H3" s="7"/>
      <c r="I3" s="5"/>
      <c r="J3" s="72" t="s">
        <v>28</v>
      </c>
      <c r="K3" s="72"/>
      <c r="L3" s="60">
        <f>COUNTIF(SummaryTable[CLASS],"=3rd")</f>
        <v>0</v>
      </c>
      <c r="M3" s="5"/>
      <c r="N3" s="61" t="s">
        <v>29</v>
      </c>
      <c r="O3" s="60">
        <f>COUNTIF(SummaryTable[CLASS],"=Pass")</f>
        <v>1</v>
      </c>
      <c r="P3" s="5"/>
      <c r="Q3" s="5"/>
      <c r="R3" s="5"/>
      <c r="S3" s="5"/>
      <c r="T3" s="61" t="s">
        <v>30</v>
      </c>
      <c r="U3" s="8">
        <f>COUNT(SummaryTable[CGPA])</f>
        <v>1</v>
      </c>
    </row>
    <row r="5" spans="1:23" x14ac:dyDescent="0.45">
      <c r="D5" s="63" t="s">
        <v>18</v>
      </c>
      <c r="E5" s="63"/>
      <c r="F5" s="63" t="s">
        <v>19</v>
      </c>
      <c r="G5" s="63"/>
      <c r="H5" s="63" t="s">
        <v>20</v>
      </c>
      <c r="I5" s="63"/>
      <c r="J5" s="63" t="s">
        <v>21</v>
      </c>
      <c r="K5" s="63"/>
      <c r="L5" s="63" t="s">
        <v>22</v>
      </c>
      <c r="M5" s="63"/>
      <c r="N5" s="63" t="s">
        <v>23</v>
      </c>
      <c r="O5" s="63"/>
      <c r="P5" s="64" t="s">
        <v>24</v>
      </c>
      <c r="Q5" s="65"/>
      <c r="R5" s="66"/>
      <c r="S5" s="64" t="s">
        <v>25</v>
      </c>
      <c r="T5" s="65"/>
      <c r="U5" s="66"/>
    </row>
    <row r="6" spans="1:23" x14ac:dyDescent="0.45">
      <c r="A6" t="s">
        <v>44</v>
      </c>
      <c r="B6" t="s">
        <v>0</v>
      </c>
      <c r="C6" t="s">
        <v>4</v>
      </c>
      <c r="D6" s="2" t="s">
        <v>15</v>
      </c>
      <c r="E6" s="2" t="s">
        <v>16</v>
      </c>
      <c r="F6" s="2" t="s">
        <v>5</v>
      </c>
      <c r="G6" s="2" t="s">
        <v>6</v>
      </c>
      <c r="H6" s="2" t="s">
        <v>11</v>
      </c>
      <c r="I6" s="2" t="s">
        <v>7</v>
      </c>
      <c r="J6" s="2" t="s">
        <v>12</v>
      </c>
      <c r="K6" s="2" t="s">
        <v>8</v>
      </c>
      <c r="L6" s="2" t="s">
        <v>13</v>
      </c>
      <c r="M6" s="2" t="s">
        <v>9</v>
      </c>
      <c r="N6" s="2" t="s">
        <v>14</v>
      </c>
      <c r="O6" s="2" t="s">
        <v>10</v>
      </c>
      <c r="P6" s="2" t="s">
        <v>2</v>
      </c>
      <c r="Q6" s="2" t="s">
        <v>1</v>
      </c>
      <c r="R6" s="62" t="s">
        <v>58</v>
      </c>
      <c r="S6" s="62" t="s">
        <v>59</v>
      </c>
      <c r="T6" s="2" t="s">
        <v>3</v>
      </c>
      <c r="U6" s="2" t="s">
        <v>17</v>
      </c>
      <c r="V6" t="s">
        <v>60</v>
      </c>
      <c r="W6" s="1" t="s">
        <v>61</v>
      </c>
    </row>
    <row r="7" spans="1:23" x14ac:dyDescent="0.4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>
        <f>SummaryTable[[#This Row],[QP1]]+SummaryTable[[#This Row],[QP2]]+SummaryTable[[#This Row],[QP3]]+SummaryTable[[#This Row],[QP4]]+SummaryTable[[#This Row],[QP5]]+SummaryTable[[#This Row],[QP6]]</f>
        <v>0</v>
      </c>
      <c r="Q7" s="57">
        <f>SummaryTable[[#This Row],[CU1]]+SummaryTable[[#This Row],[CU2]]+SummaryTable[[#This Row],[CU3]]+SummaryTable[[#This Row],[CU4]]+SummaryTable[[#This Row],[CU5]]+SummaryTable[[#This Row],[CU6]]</f>
        <v>0</v>
      </c>
      <c r="R7" s="57"/>
      <c r="S7" s="57"/>
      <c r="T7" s="58">
        <f>IFERROR(SummaryTable[[#This Row],[TQP]]/SummaryTable[[#This Row],[TCU]],0)</f>
        <v>0</v>
      </c>
      <c r="U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V7" s="57"/>
    </row>
  </sheetData>
  <mergeCells count="13">
    <mergeCell ref="L5:M5"/>
    <mergeCell ref="N5:O5"/>
    <mergeCell ref="P5:R5"/>
    <mergeCell ref="S5:U5"/>
    <mergeCell ref="A2:B2"/>
    <mergeCell ref="D2:F2"/>
    <mergeCell ref="A3:B3"/>
    <mergeCell ref="D3:F3"/>
    <mergeCell ref="J3:K3"/>
    <mergeCell ref="D5:E5"/>
    <mergeCell ref="F5:G5"/>
    <mergeCell ref="H5:I5"/>
    <mergeCell ref="J5:K5"/>
  </mergeCells>
  <conditionalFormatting sqref="Q1:U1048576">
    <cfRule type="cellIs" priority="7" stopIfTrue="1" operator="equal">
      <formula>""</formula>
    </cfRule>
  </conditionalFormatting>
  <conditionalFormatting sqref="T1:T1048576">
    <cfRule type="cellIs" dxfId="18" priority="9" operator="lessThan">
      <formula>1</formula>
    </cfRule>
  </conditionalFormatting>
  <conditionalFormatting sqref="S1:S1048576">
    <cfRule type="cellIs" dxfId="17" priority="8" operator="equal">
      <formula>"YES"</formula>
    </cfRule>
  </conditionalFormatting>
  <conditionalFormatting sqref="U1:U1048576">
    <cfRule type="cellIs" dxfId="16" priority="2" operator="equal">
      <formula>"Pass"</formula>
    </cfRule>
    <cfRule type="cellIs" dxfId="15" priority="3" operator="equal">
      <formula>"3rd"</formula>
    </cfRule>
    <cfRule type="cellIs" dxfId="14" priority="4" operator="equal">
      <formula>"2.2"</formula>
    </cfRule>
    <cfRule type="cellIs" dxfId="13" priority="5" operator="equal">
      <formula>"2.1"</formula>
    </cfRule>
    <cfRule type="cellIs" dxfId="12" priority="6" operator="equal">
      <formula>"1st"</formula>
    </cfRule>
  </conditionalFormatting>
  <conditionalFormatting sqref="Q1:Q1048576">
    <cfRule type="cellIs" dxfId="11" priority="10" operator="between">
      <formula>-0.5</formula>
      <formula>$G$2 - 0.5</formula>
    </cfRule>
  </conditionalFormatting>
  <conditionalFormatting sqref="R1:R1048576">
    <cfRule type="cellIs" dxfId="10" priority="11" operator="between">
      <formula>1</formula>
      <formula>$G$2 + 0.5</formula>
    </cfRule>
  </conditionalFormatting>
  <conditionalFormatting sqref="V1:V1048576">
    <cfRule type="cellIs" dxfId="0" priority="1" operator="equal">
      <formula>"YES"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80" sqref="A80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5" width="3.80859375" customWidth="1"/>
    <col min="16" max="19" width="5.76171875" customWidth="1"/>
  </cols>
  <sheetData>
    <row r="1" spans="1:21" x14ac:dyDescent="0.45">
      <c r="A1" s="77" t="s">
        <v>45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</row>
    <row r="2" spans="1:21" x14ac:dyDescent="0.45">
      <c r="A2" s="77" t="s">
        <v>51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</row>
    <row r="3" spans="1:21" x14ac:dyDescent="0.45">
      <c r="A3" s="77" t="s">
        <v>50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</row>
    <row r="4" spans="1:21" x14ac:dyDescent="0.45">
      <c r="A4" s="77" t="s">
        <v>52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</row>
    <row r="5" spans="1:21" x14ac:dyDescent="0.45">
      <c r="A5" s="10"/>
      <c r="B5" s="78" t="s">
        <v>53</v>
      </c>
      <c r="C5" s="78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79" t="s">
        <v>49</v>
      </c>
      <c r="Q5" s="79"/>
      <c r="R5" s="79"/>
      <c r="S5" s="10"/>
    </row>
    <row r="6" spans="1:21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0"/>
    </row>
    <row r="7" spans="1:21" x14ac:dyDescent="0.45">
      <c r="A7" s="28"/>
      <c r="B7" s="18" t="s">
        <v>26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14"/>
      <c r="Q7" s="14"/>
      <c r="R7" s="15"/>
      <c r="S7" s="28"/>
    </row>
    <row r="8" spans="1:21" x14ac:dyDescent="0.45">
      <c r="A8" s="28"/>
      <c r="B8" s="31" t="str">
        <f>"First Class:  " &amp; COUNTIF(S:S,"=11")</f>
        <v>First Class:  0</v>
      </c>
      <c r="C8" s="23" t="str">
        <f>"2nd Class Upper:  " &amp; COUNTIF(S:S,"=21")</f>
        <v>2nd Class Upper:  0</v>
      </c>
      <c r="D8" s="73" t="s">
        <v>27</v>
      </c>
      <c r="E8" s="73"/>
      <c r="F8" s="73"/>
      <c r="G8" s="73"/>
      <c r="H8" s="24">
        <f>COUNTIF(S:S,"=22")</f>
        <v>0</v>
      </c>
      <c r="I8" s="73" t="s">
        <v>28</v>
      </c>
      <c r="J8" s="73"/>
      <c r="K8" s="73"/>
      <c r="L8" s="24">
        <f>COUNTIF(S:S,"=3rd")</f>
        <v>0</v>
      </c>
      <c r="M8" s="73" t="s">
        <v>29</v>
      </c>
      <c r="N8" s="73"/>
      <c r="O8" s="24">
        <f>COUNTIF(S:S,"=Pass")</f>
        <v>0</v>
      </c>
      <c r="P8" s="16"/>
      <c r="Q8" s="73" t="str">
        <f>"Total: " &amp; COUNT(P:P)</f>
        <v>Total: 0</v>
      </c>
      <c r="R8" s="74"/>
      <c r="S8" s="30"/>
    </row>
    <row r="9" spans="1:21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</row>
    <row r="10" spans="1:21" x14ac:dyDescent="0.45">
      <c r="A10" s="44"/>
      <c r="B10" s="29"/>
      <c r="C10" s="29"/>
      <c r="D10" s="75" t="s">
        <v>18</v>
      </c>
      <c r="E10" s="76"/>
      <c r="F10" s="75" t="s">
        <v>19</v>
      </c>
      <c r="G10" s="76"/>
      <c r="H10" s="75" t="s">
        <v>20</v>
      </c>
      <c r="I10" s="76"/>
      <c r="J10" s="75" t="s">
        <v>21</v>
      </c>
      <c r="K10" s="76"/>
      <c r="L10" s="75" t="s">
        <v>22</v>
      </c>
      <c r="M10" s="76"/>
      <c r="N10" s="75" t="s">
        <v>23</v>
      </c>
      <c r="O10" s="76"/>
      <c r="P10" s="75" t="s">
        <v>24</v>
      </c>
      <c r="Q10" s="76"/>
      <c r="R10" s="75" t="s">
        <v>25</v>
      </c>
      <c r="S10" s="76"/>
    </row>
    <row r="11" spans="1:21" x14ac:dyDescent="0.45">
      <c r="A11" s="9" t="s">
        <v>44</v>
      </c>
      <c r="B11" s="45" t="s">
        <v>0</v>
      </c>
      <c r="C11" s="46" t="s">
        <v>4</v>
      </c>
      <c r="D11" s="47" t="s">
        <v>32</v>
      </c>
      <c r="E11" s="47" t="s">
        <v>38</v>
      </c>
      <c r="F11" s="47" t="s">
        <v>33</v>
      </c>
      <c r="G11" s="47" t="s">
        <v>39</v>
      </c>
      <c r="H11" s="47" t="s">
        <v>34</v>
      </c>
      <c r="I11" s="47" t="s">
        <v>40</v>
      </c>
      <c r="J11" s="47" t="s">
        <v>35</v>
      </c>
      <c r="K11" s="47" t="s">
        <v>41</v>
      </c>
      <c r="L11" s="47" t="s">
        <v>36</v>
      </c>
      <c r="M11" s="47" t="s">
        <v>42</v>
      </c>
      <c r="N11" s="47" t="s">
        <v>37</v>
      </c>
      <c r="O11" s="47" t="s">
        <v>43</v>
      </c>
      <c r="P11" s="47" t="s">
        <v>2</v>
      </c>
      <c r="Q11" s="47" t="s">
        <v>1</v>
      </c>
      <c r="R11" s="47" t="s">
        <v>3</v>
      </c>
      <c r="S11" s="48" t="s">
        <v>17</v>
      </c>
      <c r="U11" s="1"/>
    </row>
    <row r="12" spans="1:21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3" t="str">
        <f>IF(DegreeTable[[#This Row],[Name]]="", "",IFERROR(DegreeTable[[#This Row],[TQP]]/DegreeTable[[#This Row],[TCU]],0))</f>
        <v/>
      </c>
      <c r="S12" s="56"/>
      <c r="U12" s="1"/>
    </row>
    <row r="13" spans="1:21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40"/>
      <c r="S13" s="41"/>
    </row>
    <row r="14" spans="1:21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40"/>
      <c r="S14" s="41"/>
    </row>
    <row r="15" spans="1:21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1:21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x14ac:dyDescent="0.45">
      <c r="A17" s="32" t="s">
        <v>46</v>
      </c>
      <c r="B17" s="32"/>
      <c r="C17" s="32"/>
      <c r="D17" s="32" t="s">
        <v>47</v>
      </c>
      <c r="E17" s="32"/>
      <c r="F17" s="32"/>
      <c r="G17" s="32"/>
      <c r="H17" s="32"/>
      <c r="I17" s="32"/>
      <c r="J17" s="32"/>
      <c r="K17" s="33"/>
      <c r="L17" s="33"/>
      <c r="M17" s="32"/>
      <c r="N17" s="49" t="s">
        <v>48</v>
      </c>
      <c r="O17" s="49"/>
      <c r="P17" s="49"/>
      <c r="Q17" s="49"/>
      <c r="R17" s="49"/>
      <c r="S17" s="49"/>
    </row>
    <row r="18" spans="1:19" x14ac:dyDescent="0.45">
      <c r="A18" s="54" t="s">
        <v>54</v>
      </c>
      <c r="B18" s="34"/>
      <c r="C18" s="34"/>
      <c r="D18" s="53" t="s">
        <v>54</v>
      </c>
      <c r="E18" s="35"/>
      <c r="F18" s="35"/>
      <c r="G18" s="35"/>
      <c r="H18" s="35"/>
      <c r="I18" s="35"/>
      <c r="J18" s="35"/>
      <c r="K18" s="35"/>
      <c r="L18" s="35"/>
      <c r="M18" s="35"/>
      <c r="N18" s="53" t="s">
        <v>54</v>
      </c>
      <c r="O18" s="50"/>
      <c r="P18" s="50"/>
      <c r="Q18" s="50"/>
      <c r="R18" s="50"/>
      <c r="S18" s="50"/>
    </row>
    <row r="19" spans="1:19" x14ac:dyDescent="0.45">
      <c r="A19" s="55" t="s">
        <v>55</v>
      </c>
      <c r="B19" s="36"/>
      <c r="C19" s="36"/>
      <c r="D19" s="55" t="s">
        <v>57</v>
      </c>
      <c r="E19" s="36"/>
      <c r="F19" s="36"/>
      <c r="G19" s="36"/>
      <c r="H19" s="36"/>
      <c r="I19" s="36"/>
      <c r="J19" s="36"/>
      <c r="K19" s="36"/>
      <c r="L19" s="36"/>
      <c r="M19" s="36"/>
      <c r="N19" s="55" t="s">
        <v>57</v>
      </c>
      <c r="O19" s="37"/>
      <c r="P19" s="37"/>
      <c r="Q19" s="37"/>
      <c r="R19" s="37"/>
      <c r="S19" s="37"/>
    </row>
    <row r="20" spans="1:19" x14ac:dyDescent="0.45">
      <c r="A20" s="55" t="s">
        <v>56</v>
      </c>
      <c r="B20" s="36"/>
      <c r="C20" s="36"/>
      <c r="D20" s="55" t="s">
        <v>56</v>
      </c>
      <c r="E20" s="36"/>
      <c r="F20" s="36"/>
      <c r="G20" s="36"/>
      <c r="H20" s="36"/>
      <c r="I20" s="36"/>
      <c r="J20" s="36"/>
      <c r="K20" s="36"/>
      <c r="L20" s="36"/>
      <c r="M20" s="36"/>
      <c r="N20" s="55" t="s">
        <v>56</v>
      </c>
      <c r="O20" s="36"/>
      <c r="P20" s="36"/>
      <c r="Q20" s="36"/>
      <c r="R20" s="36"/>
      <c r="S20" s="36"/>
    </row>
  </sheetData>
  <mergeCells count="18">
    <mergeCell ref="A1:S1"/>
    <mergeCell ref="A2:S2"/>
    <mergeCell ref="A3:S3"/>
    <mergeCell ref="A4:S4"/>
    <mergeCell ref="B5:C5"/>
    <mergeCell ref="P5:R5"/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2022-01-15T21:18:03Z</dcterms:modified>
</cp:coreProperties>
</file>